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petit/Desktop/"/>
    </mc:Choice>
  </mc:AlternateContent>
  <xr:revisionPtr revIDLastSave="0" documentId="13_ncr:1_{B52A5067-9ED5-8540-BBEA-28FAADE502A9}" xr6:coauthVersionLast="47" xr6:coauthVersionMax="47" xr10:uidLastSave="{00000000-0000-0000-0000-000000000000}"/>
  <bookViews>
    <workbookView xWindow="180" yWindow="760" windowWidth="28800" windowHeight="16860" activeTab="2" xr2:uid="{53CC3404-F32C-5947-952D-5EBE0E693F31}"/>
  </bookViews>
  <sheets>
    <sheet name="Summary and charts" sheetId="1" r:id="rId1"/>
    <sheet name="Inputs" sheetId="4" r:id="rId2"/>
    <sheet name="Rates &amp; Ops" sheetId="2" r:id="rId3"/>
    <sheet name="Cash flow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3" l="1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R3" i="3"/>
  <c r="S3" i="3"/>
  <c r="R4" i="3"/>
  <c r="S4" i="3"/>
  <c r="E5" i="3"/>
  <c r="H5" i="3" s="1"/>
  <c r="F5" i="3"/>
  <c r="G5" i="3"/>
  <c r="E6" i="3"/>
  <c r="F6" i="3"/>
  <c r="G6" i="3"/>
  <c r="H6" i="3"/>
  <c r="K6" i="3" s="1"/>
  <c r="I6" i="3"/>
  <c r="L6" i="3"/>
  <c r="M6" i="3"/>
  <c r="E7" i="3"/>
  <c r="F7" i="3"/>
  <c r="G7" i="3"/>
  <c r="H7" i="3"/>
  <c r="I7" i="3"/>
  <c r="L7" i="3"/>
  <c r="E8" i="3"/>
  <c r="F8" i="3"/>
  <c r="G8" i="3"/>
  <c r="E9" i="3"/>
  <c r="H9" i="3" s="1"/>
  <c r="F9" i="3"/>
  <c r="G9" i="3"/>
  <c r="E10" i="3"/>
  <c r="F10" i="3"/>
  <c r="G10" i="3"/>
  <c r="H10" i="3"/>
  <c r="K10" i="3" s="1"/>
  <c r="I10" i="3"/>
  <c r="L10" i="3"/>
  <c r="M10" i="3"/>
  <c r="E11" i="3"/>
  <c r="F11" i="3"/>
  <c r="G11" i="3"/>
  <c r="H11" i="3"/>
  <c r="K11" i="3" s="1"/>
  <c r="I11" i="3"/>
  <c r="L11" i="3"/>
  <c r="M11" i="3"/>
  <c r="E12" i="3"/>
  <c r="H12" i="3" s="1"/>
  <c r="K12" i="3" s="1"/>
  <c r="F12" i="3"/>
  <c r="G12" i="3"/>
  <c r="E13" i="3"/>
  <c r="F13" i="3"/>
  <c r="G13" i="3"/>
  <c r="H13" i="3"/>
  <c r="K13" i="3" s="1"/>
  <c r="I13" i="3"/>
  <c r="L13" i="3"/>
  <c r="M13" i="3"/>
  <c r="E14" i="3"/>
  <c r="F14" i="3"/>
  <c r="G14" i="3"/>
  <c r="H14" i="3"/>
  <c r="K14" i="3" s="1"/>
  <c r="I14" i="3"/>
  <c r="L14" i="3"/>
  <c r="M14" i="3"/>
  <c r="E15" i="3"/>
  <c r="F15" i="3"/>
  <c r="G15" i="3"/>
  <c r="H15" i="3" s="1"/>
  <c r="E16" i="3"/>
  <c r="F16" i="3"/>
  <c r="G16" i="3"/>
  <c r="H16" i="3"/>
  <c r="K16" i="3" s="1"/>
  <c r="I16" i="3"/>
  <c r="E17" i="3"/>
  <c r="F17" i="3"/>
  <c r="H17" i="3" s="1"/>
  <c r="G17" i="3"/>
  <c r="E18" i="3"/>
  <c r="F18" i="3"/>
  <c r="G18" i="3"/>
  <c r="E19" i="3"/>
  <c r="F19" i="3"/>
  <c r="G19" i="3"/>
  <c r="E20" i="3"/>
  <c r="F20" i="3"/>
  <c r="G20" i="3"/>
  <c r="E21" i="3"/>
  <c r="F21" i="3"/>
  <c r="G21" i="3"/>
  <c r="H21" i="3" s="1"/>
  <c r="K21" i="3" s="1"/>
  <c r="E22" i="3"/>
  <c r="F22" i="3"/>
  <c r="G22" i="3"/>
  <c r="H22" i="3"/>
  <c r="K22" i="3" s="1"/>
  <c r="E23" i="3"/>
  <c r="F23" i="3"/>
  <c r="G23" i="3"/>
  <c r="H23" i="3" s="1"/>
  <c r="K23" i="3" s="1"/>
  <c r="E24" i="3"/>
  <c r="F24" i="3"/>
  <c r="G24" i="3"/>
  <c r="E25" i="3"/>
  <c r="F25" i="3"/>
  <c r="G25" i="3"/>
  <c r="H25" i="3" s="1"/>
  <c r="E26" i="3"/>
  <c r="F26" i="3"/>
  <c r="G26" i="3"/>
  <c r="E27" i="3"/>
  <c r="F27" i="3"/>
  <c r="G27" i="3"/>
  <c r="H27" i="3" s="1"/>
  <c r="E28" i="3"/>
  <c r="F28" i="3"/>
  <c r="G28" i="3"/>
  <c r="E29" i="3"/>
  <c r="F29" i="3"/>
  <c r="G29" i="3"/>
  <c r="H29" i="3" s="1"/>
  <c r="K29" i="3" s="1"/>
  <c r="K89" i="3"/>
  <c r="K88" i="3"/>
  <c r="I89" i="3"/>
  <c r="I88" i="3"/>
  <c r="F75" i="3"/>
  <c r="F74" i="3"/>
  <c r="E75" i="3"/>
  <c r="E74" i="3"/>
  <c r="U6" i="3"/>
  <c r="O6" i="3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6" i="2"/>
  <c r="G6" i="2" s="1"/>
  <c r="F44" i="3" s="1"/>
  <c r="F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43" i="3"/>
  <c r="G57" i="3"/>
  <c r="S41" i="3"/>
  <c r="S42" i="3"/>
  <c r="R42" i="3"/>
  <c r="R41" i="3"/>
  <c r="O57" i="3"/>
  <c r="E7" i="2"/>
  <c r="E8" i="2"/>
  <c r="E9" i="2"/>
  <c r="E12" i="2"/>
  <c r="E13" i="2"/>
  <c r="E17" i="2"/>
  <c r="E19" i="2"/>
  <c r="E20" i="2"/>
  <c r="E21" i="2"/>
  <c r="E23" i="2"/>
  <c r="E24" i="2"/>
  <c r="E25" i="2"/>
  <c r="E27" i="2"/>
  <c r="E28" i="2"/>
  <c r="E29" i="2"/>
  <c r="E5" i="2"/>
  <c r="G5" i="2"/>
  <c r="C19" i="4"/>
  <c r="K5" i="3" l="1"/>
  <c r="M5" i="3"/>
  <c r="Q5" i="3" s="1"/>
  <c r="L5" i="3"/>
  <c r="P5" i="3" s="1"/>
  <c r="I5" i="3"/>
  <c r="M7" i="3"/>
  <c r="K7" i="3"/>
  <c r="K9" i="3"/>
  <c r="M9" i="3"/>
  <c r="L9" i="3"/>
  <c r="I9" i="3"/>
  <c r="K15" i="3"/>
  <c r="I15" i="3"/>
  <c r="L15" i="3"/>
  <c r="M15" i="3"/>
  <c r="K17" i="3"/>
  <c r="I17" i="3"/>
  <c r="M17" i="3"/>
  <c r="L17" i="3"/>
  <c r="M25" i="3"/>
  <c r="K25" i="3"/>
  <c r="L25" i="3"/>
  <c r="I25" i="3"/>
  <c r="M27" i="3"/>
  <c r="K27" i="3"/>
  <c r="L27" i="3"/>
  <c r="I27" i="3"/>
  <c r="H8" i="3"/>
  <c r="H19" i="3"/>
  <c r="H20" i="3"/>
  <c r="H18" i="3"/>
  <c r="H28" i="3"/>
  <c r="L29" i="3"/>
  <c r="P29" i="3" s="1"/>
  <c r="M29" i="3"/>
  <c r="Q29" i="3" s="1"/>
  <c r="I29" i="3"/>
  <c r="H26" i="3"/>
  <c r="K26" i="3" s="1"/>
  <c r="H24" i="3"/>
  <c r="K24" i="3" s="1"/>
  <c r="M12" i="3"/>
  <c r="L12" i="3"/>
  <c r="I12" i="3"/>
  <c r="M16" i="3"/>
  <c r="L16" i="3"/>
  <c r="M22" i="3"/>
  <c r="I22" i="3"/>
  <c r="L22" i="3"/>
  <c r="I21" i="3"/>
  <c r="M21" i="3"/>
  <c r="L21" i="3"/>
  <c r="I23" i="3"/>
  <c r="M23" i="3"/>
  <c r="L23" i="3"/>
  <c r="Q6" i="3"/>
  <c r="P6" i="3"/>
  <c r="H43" i="3"/>
  <c r="M43" i="3" s="1"/>
  <c r="Q43" i="3" s="1"/>
  <c r="H44" i="3"/>
  <c r="L44" i="3" s="1"/>
  <c r="P44" i="3" s="1"/>
  <c r="U7" i="3"/>
  <c r="O7" i="3" s="1"/>
  <c r="E76" i="3" l="1"/>
  <c r="S5" i="3"/>
  <c r="I90" i="3"/>
  <c r="R5" i="3"/>
  <c r="M8" i="3"/>
  <c r="L8" i="3"/>
  <c r="I8" i="3"/>
  <c r="K8" i="3"/>
  <c r="L19" i="3"/>
  <c r="M19" i="3"/>
  <c r="I19" i="3"/>
  <c r="K19" i="3"/>
  <c r="I20" i="3"/>
  <c r="M20" i="3"/>
  <c r="L20" i="3"/>
  <c r="K20" i="3"/>
  <c r="M18" i="3"/>
  <c r="L18" i="3"/>
  <c r="I18" i="3"/>
  <c r="K18" i="3"/>
  <c r="I28" i="3"/>
  <c r="M28" i="3"/>
  <c r="L28" i="3"/>
  <c r="K28" i="3"/>
  <c r="I114" i="3"/>
  <c r="R29" i="3"/>
  <c r="E100" i="3"/>
  <c r="S29" i="3"/>
  <c r="L26" i="3"/>
  <c r="M26" i="3"/>
  <c r="I26" i="3"/>
  <c r="I24" i="3"/>
  <c r="M24" i="3"/>
  <c r="L24" i="3"/>
  <c r="E77" i="3"/>
  <c r="S6" i="3"/>
  <c r="I91" i="3"/>
  <c r="R6" i="3"/>
  <c r="Q7" i="3"/>
  <c r="S7" i="3" s="1"/>
  <c r="P7" i="3"/>
  <c r="R7" i="3" s="1"/>
  <c r="F76" i="3"/>
  <c r="R44" i="3"/>
  <c r="K91" i="3"/>
  <c r="I43" i="3"/>
  <c r="L43" i="3"/>
  <c r="P43" i="3" s="1"/>
  <c r="I44" i="3"/>
  <c r="M44" i="3"/>
  <c r="Q44" i="3" s="1"/>
  <c r="S43" i="3"/>
  <c r="U8" i="3"/>
  <c r="O8" i="3" s="1"/>
  <c r="G7" i="2"/>
  <c r="Q8" i="3" l="1"/>
  <c r="S8" i="3" s="1"/>
  <c r="P8" i="3"/>
  <c r="R8" i="3" s="1"/>
  <c r="E78" i="3"/>
  <c r="I92" i="3"/>
  <c r="K90" i="3"/>
  <c r="F77" i="3"/>
  <c r="R43" i="3"/>
  <c r="S44" i="3"/>
  <c r="F45" i="3"/>
  <c r="H45" i="3" s="1"/>
  <c r="U9" i="3"/>
  <c r="O9" i="3" s="1"/>
  <c r="G8" i="2"/>
  <c r="Q9" i="3" l="1"/>
  <c r="S9" i="3" s="1"/>
  <c r="P9" i="3"/>
  <c r="R9" i="3" s="1"/>
  <c r="E79" i="3"/>
  <c r="I93" i="3"/>
  <c r="I45" i="3"/>
  <c r="L45" i="3"/>
  <c r="P45" i="3" s="1"/>
  <c r="M45" i="3"/>
  <c r="Q45" i="3" s="1"/>
  <c r="F46" i="3"/>
  <c r="H46" i="3" s="1"/>
  <c r="U10" i="3"/>
  <c r="O10" i="3" s="1"/>
  <c r="G9" i="2"/>
  <c r="G10" i="2"/>
  <c r="F48" i="3" s="1"/>
  <c r="H48" i="3" s="1"/>
  <c r="Q10" i="3" l="1"/>
  <c r="S10" i="3" s="1"/>
  <c r="P10" i="3"/>
  <c r="R10" i="3" s="1"/>
  <c r="I94" i="3"/>
  <c r="E80" i="3"/>
  <c r="K92" i="3"/>
  <c r="F78" i="3"/>
  <c r="R45" i="3"/>
  <c r="S45" i="3"/>
  <c r="I46" i="3"/>
  <c r="L46" i="3"/>
  <c r="P46" i="3" s="1"/>
  <c r="M46" i="3"/>
  <c r="Q46" i="3" s="1"/>
  <c r="F47" i="3"/>
  <c r="H47" i="3" s="1"/>
  <c r="I48" i="3"/>
  <c r="L48" i="3"/>
  <c r="P48" i="3" s="1"/>
  <c r="M48" i="3"/>
  <c r="Q48" i="3" s="1"/>
  <c r="U11" i="3"/>
  <c r="O11" i="3" s="1"/>
  <c r="Q11" i="3" l="1"/>
  <c r="S11" i="3" s="1"/>
  <c r="P11" i="3"/>
  <c r="R11" i="3" s="1"/>
  <c r="E81" i="3"/>
  <c r="I95" i="3"/>
  <c r="K93" i="3"/>
  <c r="F79" i="3"/>
  <c r="R48" i="3"/>
  <c r="K95" i="3"/>
  <c r="S48" i="3"/>
  <c r="F81" i="3"/>
  <c r="R46" i="3"/>
  <c r="S46" i="3"/>
  <c r="I47" i="3"/>
  <c r="L47" i="3"/>
  <c r="P47" i="3" s="1"/>
  <c r="M47" i="3"/>
  <c r="Q47" i="3" s="1"/>
  <c r="U12" i="3"/>
  <c r="O12" i="3" s="1"/>
  <c r="G11" i="2"/>
  <c r="Q12" i="3" l="1"/>
  <c r="S12" i="3" s="1"/>
  <c r="P12" i="3"/>
  <c r="R12" i="3" s="1"/>
  <c r="E82" i="3"/>
  <c r="I96" i="3"/>
  <c r="K94" i="3"/>
  <c r="S47" i="3"/>
  <c r="F80" i="3"/>
  <c r="R47" i="3"/>
  <c r="F49" i="3"/>
  <c r="H49" i="3" s="1"/>
  <c r="U13" i="3"/>
  <c r="O13" i="3" s="1"/>
  <c r="G12" i="2"/>
  <c r="Q13" i="3" l="1"/>
  <c r="S13" i="3" s="1"/>
  <c r="P13" i="3"/>
  <c r="R13" i="3" s="1"/>
  <c r="E83" i="3"/>
  <c r="I97" i="3"/>
  <c r="I49" i="3"/>
  <c r="L49" i="3"/>
  <c r="P49" i="3" s="1"/>
  <c r="K96" i="3" s="1"/>
  <c r="M49" i="3"/>
  <c r="Q49" i="3" s="1"/>
  <c r="F82" i="3" s="1"/>
  <c r="F50" i="3"/>
  <c r="H50" i="3" s="1"/>
  <c r="U14" i="3"/>
  <c r="O14" i="3" s="1"/>
  <c r="G13" i="2"/>
  <c r="G14" i="2"/>
  <c r="F52" i="3" s="1"/>
  <c r="H52" i="3" s="1"/>
  <c r="Q14" i="3" l="1"/>
  <c r="S14" i="3" s="1"/>
  <c r="P14" i="3"/>
  <c r="R14" i="3" s="1"/>
  <c r="E84" i="3"/>
  <c r="I98" i="3"/>
  <c r="R49" i="3"/>
  <c r="S49" i="3"/>
  <c r="I50" i="3"/>
  <c r="L50" i="3"/>
  <c r="P50" i="3" s="1"/>
  <c r="M50" i="3"/>
  <c r="Q50" i="3" s="1"/>
  <c r="F51" i="3"/>
  <c r="H51" i="3" s="1"/>
  <c r="I52" i="3"/>
  <c r="L52" i="3"/>
  <c r="P52" i="3" s="1"/>
  <c r="M52" i="3"/>
  <c r="Q52" i="3" s="1"/>
  <c r="U15" i="3"/>
  <c r="O15" i="3" s="1"/>
  <c r="Q15" i="3" l="1"/>
  <c r="S15" i="3" s="1"/>
  <c r="P15" i="3"/>
  <c r="R15" i="3" s="1"/>
  <c r="E85" i="3"/>
  <c r="I99" i="3"/>
  <c r="R50" i="3"/>
  <c r="K97" i="3"/>
  <c r="S50" i="3"/>
  <c r="F83" i="3"/>
  <c r="R52" i="3"/>
  <c r="K99" i="3"/>
  <c r="S52" i="3"/>
  <c r="F85" i="3"/>
  <c r="I51" i="3"/>
  <c r="L51" i="3"/>
  <c r="P51" i="3" s="1"/>
  <c r="M51" i="3"/>
  <c r="Q51" i="3" s="1"/>
  <c r="U16" i="3"/>
  <c r="O16" i="3" s="1"/>
  <c r="G15" i="2"/>
  <c r="Q16" i="3" l="1"/>
  <c r="S16" i="3" s="1"/>
  <c r="P16" i="3"/>
  <c r="R16" i="3" s="1"/>
  <c r="E86" i="3"/>
  <c r="I100" i="3"/>
  <c r="R51" i="3"/>
  <c r="K98" i="3"/>
  <c r="S51" i="3"/>
  <c r="F84" i="3"/>
  <c r="F53" i="3"/>
  <c r="H53" i="3" s="1"/>
  <c r="U17" i="3"/>
  <c r="O17" i="3" s="1"/>
  <c r="G16" i="2"/>
  <c r="P17" i="3" l="1"/>
  <c r="R17" i="3" s="1"/>
  <c r="Q17" i="3"/>
  <c r="S17" i="3" s="1"/>
  <c r="E87" i="3"/>
  <c r="I101" i="3"/>
  <c r="I53" i="3"/>
  <c r="L53" i="3"/>
  <c r="P53" i="3" s="1"/>
  <c r="M53" i="3"/>
  <c r="Q53" i="3" s="1"/>
  <c r="F54" i="3"/>
  <c r="H54" i="3" s="1"/>
  <c r="U18" i="3"/>
  <c r="O18" i="3" s="1"/>
  <c r="G17" i="2"/>
  <c r="G18" i="2"/>
  <c r="F56" i="3" s="1"/>
  <c r="H56" i="3" s="1"/>
  <c r="P18" i="3" l="1"/>
  <c r="R18" i="3" s="1"/>
  <c r="Q18" i="3"/>
  <c r="S18" i="3" s="1"/>
  <c r="E88" i="3"/>
  <c r="I102" i="3"/>
  <c r="R53" i="3"/>
  <c r="K100" i="3"/>
  <c r="S53" i="3"/>
  <c r="F86" i="3"/>
  <c r="I54" i="3"/>
  <c r="L54" i="3"/>
  <c r="P54" i="3" s="1"/>
  <c r="M54" i="3"/>
  <c r="Q54" i="3" s="1"/>
  <c r="F55" i="3"/>
  <c r="H55" i="3" s="1"/>
  <c r="I56" i="3"/>
  <c r="L56" i="3"/>
  <c r="P56" i="3" s="1"/>
  <c r="M56" i="3"/>
  <c r="Q56" i="3" s="1"/>
  <c r="U19" i="3"/>
  <c r="O19" i="3" s="1"/>
  <c r="P19" i="3" l="1"/>
  <c r="R19" i="3" s="1"/>
  <c r="Q19" i="3"/>
  <c r="S19" i="3" s="1"/>
  <c r="I103" i="3"/>
  <c r="E89" i="3"/>
  <c r="R54" i="3"/>
  <c r="K101" i="3"/>
  <c r="S54" i="3"/>
  <c r="F87" i="3"/>
  <c r="R56" i="3"/>
  <c r="K103" i="3"/>
  <c r="S56" i="3"/>
  <c r="F89" i="3"/>
  <c r="I55" i="3"/>
  <c r="L55" i="3"/>
  <c r="P55" i="3" s="1"/>
  <c r="M55" i="3"/>
  <c r="Q55" i="3" s="1"/>
  <c r="U20" i="3"/>
  <c r="O20" i="3" s="1"/>
  <c r="G19" i="2"/>
  <c r="P20" i="3" l="1"/>
  <c r="R20" i="3" s="1"/>
  <c r="Q20" i="3"/>
  <c r="S20" i="3" s="1"/>
  <c r="I104" i="3"/>
  <c r="E90" i="3"/>
  <c r="R55" i="3"/>
  <c r="K102" i="3"/>
  <c r="S55" i="3"/>
  <c r="F88" i="3"/>
  <c r="F57" i="3"/>
  <c r="H57" i="3" s="1"/>
  <c r="U21" i="3"/>
  <c r="O21" i="3" s="1"/>
  <c r="G20" i="2"/>
  <c r="P21" i="3" l="1"/>
  <c r="R21" i="3" s="1"/>
  <c r="Q21" i="3"/>
  <c r="S21" i="3" s="1"/>
  <c r="I105" i="3"/>
  <c r="E91" i="3"/>
  <c r="L57" i="3"/>
  <c r="P57" i="3" s="1"/>
  <c r="M57" i="3"/>
  <c r="Q57" i="3" s="1"/>
  <c r="I57" i="3"/>
  <c r="U22" i="3"/>
  <c r="O22" i="3" s="1"/>
  <c r="G21" i="2"/>
  <c r="G22" i="2"/>
  <c r="P22" i="3" l="1"/>
  <c r="R22" i="3" s="1"/>
  <c r="Q22" i="3"/>
  <c r="S22" i="3" s="1"/>
  <c r="I106" i="3"/>
  <c r="E92" i="3"/>
  <c r="K69" i="3"/>
  <c r="K104" i="3"/>
  <c r="K77" i="3" s="1"/>
  <c r="Z41" i="3"/>
  <c r="M69" i="3"/>
  <c r="F90" i="3"/>
  <c r="Z42" i="3"/>
  <c r="R57" i="3"/>
  <c r="X41" i="3" s="1"/>
  <c r="S57" i="3"/>
  <c r="X42" i="3" s="1"/>
  <c r="U23" i="3"/>
  <c r="O23" i="3" s="1"/>
  <c r="Q23" i="3" l="1"/>
  <c r="S23" i="3" s="1"/>
  <c r="P23" i="3"/>
  <c r="R23" i="3" s="1"/>
  <c r="I107" i="3"/>
  <c r="E93" i="3"/>
  <c r="M77" i="3"/>
  <c r="H72" i="3"/>
  <c r="F69" i="3"/>
  <c r="H69" i="3"/>
  <c r="U24" i="3"/>
  <c r="O24" i="3" s="1"/>
  <c r="G23" i="2"/>
  <c r="P24" i="3" l="1"/>
  <c r="R24" i="3" s="1"/>
  <c r="Q24" i="3"/>
  <c r="S24" i="3" s="1"/>
  <c r="E94" i="3"/>
  <c r="I108" i="3"/>
  <c r="U25" i="3"/>
  <c r="O25" i="3" s="1"/>
  <c r="G24" i="2"/>
  <c r="Q25" i="3" l="1"/>
  <c r="S25" i="3" s="1"/>
  <c r="P25" i="3"/>
  <c r="R25" i="3" s="1"/>
  <c r="I109" i="3"/>
  <c r="E95" i="3"/>
  <c r="U26" i="3"/>
  <c r="O26" i="3" s="1"/>
  <c r="G25" i="2"/>
  <c r="G26" i="2"/>
  <c r="Q26" i="3" l="1"/>
  <c r="S26" i="3" s="1"/>
  <c r="P26" i="3"/>
  <c r="R26" i="3" s="1"/>
  <c r="E96" i="3"/>
  <c r="I110" i="3"/>
  <c r="U27" i="3"/>
  <c r="O27" i="3" s="1"/>
  <c r="Q27" i="3" l="1"/>
  <c r="S27" i="3" s="1"/>
  <c r="P27" i="3"/>
  <c r="R27" i="3" s="1"/>
  <c r="I111" i="3"/>
  <c r="E97" i="3"/>
  <c r="U28" i="3"/>
  <c r="O28" i="3" s="1"/>
  <c r="G27" i="2"/>
  <c r="P28" i="3" l="1"/>
  <c r="R28" i="3" s="1"/>
  <c r="Q28" i="3"/>
  <c r="S28" i="3" s="1"/>
  <c r="I112" i="3"/>
  <c r="E98" i="3"/>
  <c r="U29" i="3"/>
  <c r="G28" i="2"/>
  <c r="G29" i="2"/>
  <c r="I69" i="3" l="1"/>
  <c r="E99" i="3"/>
  <c r="I113" i="3"/>
  <c r="L77" i="3" s="1"/>
  <c r="L69" i="3"/>
  <c r="G69" i="3"/>
  <c r="N69" i="3"/>
  <c r="U30" i="3"/>
  <c r="N77" i="3" l="1"/>
  <c r="E72" i="3"/>
  <c r="X3" i="3"/>
  <c r="Z3" i="3"/>
  <c r="X2" i="3"/>
  <c r="Z2" i="3"/>
  <c r="U31" i="3"/>
</calcChain>
</file>

<file path=xl/sharedStrings.xml><?xml version="1.0" encoding="utf-8"?>
<sst xmlns="http://schemas.openxmlformats.org/spreadsheetml/2006/main" count="109" uniqueCount="70">
  <si>
    <t>Discount rate</t>
  </si>
  <si>
    <t>Inflation rate</t>
  </si>
  <si>
    <t>Tax rate (NY)</t>
  </si>
  <si>
    <t>Tax rate (HK)</t>
  </si>
  <si>
    <t xml:space="preserve">Project start year </t>
  </si>
  <si>
    <t>Horizon</t>
  </si>
  <si>
    <t>Cites</t>
  </si>
  <si>
    <t>New York</t>
  </si>
  <si>
    <t>Hong Kong</t>
  </si>
  <si>
    <t>Years Horizon</t>
  </si>
  <si>
    <t>City</t>
  </si>
  <si>
    <t>Ship Cost</t>
  </si>
  <si>
    <t>Payment schedule</t>
  </si>
  <si>
    <t>Y1</t>
  </si>
  <si>
    <t>Y2</t>
  </si>
  <si>
    <t>Y3</t>
  </si>
  <si>
    <t>Initial Working Capital</t>
  </si>
  <si>
    <t xml:space="preserve">WC growth = </t>
  </si>
  <si>
    <t>Inflation</t>
  </si>
  <si>
    <t>Scrap value (Y15)</t>
  </si>
  <si>
    <t xml:space="preserve">Effective tax rate formula </t>
  </si>
  <si>
    <t>Year</t>
  </si>
  <si>
    <t>Expected daily hire rate</t>
  </si>
  <si>
    <t>Operating days</t>
  </si>
  <si>
    <t>Revenue</t>
  </si>
  <si>
    <t>Op Cost</t>
  </si>
  <si>
    <t>Depreciation</t>
  </si>
  <si>
    <t>EBIT</t>
  </si>
  <si>
    <t xml:space="preserve">OCF NY </t>
  </si>
  <si>
    <t>OCF HK</t>
  </si>
  <si>
    <t>Capex</t>
  </si>
  <si>
    <t xml:space="preserve">TAXATIOn </t>
  </si>
  <si>
    <t>leap year</t>
  </si>
  <si>
    <t xml:space="preserve">1) added 5 000 000 scrap value in the CF </t>
  </si>
  <si>
    <t>Tax (NY)</t>
  </si>
  <si>
    <t>NPV NY</t>
  </si>
  <si>
    <t>NPV HK</t>
  </si>
  <si>
    <t xml:space="preserve">Increase by 4.03% each year </t>
  </si>
  <si>
    <t>YOU DEPRECIATE in 2008 for the 2007 survey and …</t>
  </si>
  <si>
    <t>IRR</t>
  </si>
  <si>
    <t xml:space="preserve">IRR </t>
  </si>
  <si>
    <t>Tax (HK)</t>
  </si>
  <si>
    <t>Age (yrs)</t>
  </si>
  <si>
    <t>ΔNWC</t>
  </si>
  <si>
    <t>FCF (NY)</t>
  </si>
  <si>
    <t>FCF (HK)</t>
  </si>
  <si>
    <t>Revenues</t>
  </si>
  <si>
    <t>Operatig Expenses</t>
  </si>
  <si>
    <t>DCF (NY)</t>
  </si>
  <si>
    <t>DCF (HK)</t>
  </si>
  <si>
    <t>Period</t>
  </si>
  <si>
    <t xml:space="preserve">DCF (NY) </t>
  </si>
  <si>
    <t>Hong Kong–based</t>
  </si>
  <si>
    <t>15 years</t>
  </si>
  <si>
    <t>25 years</t>
  </si>
  <si>
    <t xml:space="preserve">25 years </t>
  </si>
  <si>
    <t xml:space="preserve">IRR of Investments </t>
  </si>
  <si>
    <t>New York-based</t>
  </si>
  <si>
    <t>Daily operating Cost</t>
  </si>
  <si>
    <t>Operating cost</t>
  </si>
  <si>
    <t>Age</t>
  </si>
  <si>
    <t>.</t>
  </si>
  <si>
    <t>NPV HK 11%</t>
  </si>
  <si>
    <t xml:space="preserve">DCF HK </t>
  </si>
  <si>
    <t xml:space="preserve">NPV HK (15 Y) </t>
  </si>
  <si>
    <t>NPV of Investments (11% rate)</t>
  </si>
  <si>
    <t>NPV of Investments (9% rate)</t>
  </si>
  <si>
    <t xml:space="preserve">DCF NY </t>
  </si>
  <si>
    <t>Net Income NY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</si>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</sst>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4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3" fontId="0" fillId="0" borderId="0" xfId="0" applyNumberForma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6" fillId="0" borderId="0" xfId="0" applyFont="1"/>
    <xf numFmtId="0" fontId="0" fillId="0" borderId="0" xfId="0" quotePrefix="1"/>
    <xf numFmtId="164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  <xf numFmtId="0" fontId="0" fillId="0" borderId="2" xfId="0" applyBorder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47">
    <dxf>
      <font>
        <color rgb="FF9C0006"/>
      </font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  <dxf>
      <numFmt numFmtId="164" formatCode="#,##0;\(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1F3461-52D4-AF45-9388-A2CB9CA95BF1}" name="Table3" displayName="Table3" ref="B2:H29" totalsRowShown="0" dataDxfId="46">
  <autoFilter ref="B2:H29" xr:uid="{571F3461-52D4-AF45-9388-A2CB9CA95B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FEEEB69-4C94-4443-91D9-5822F282CFD9}" name="Year" dataDxfId="45"/>
    <tableColumn id="2" xr3:uid="{C53A4DE8-F3F5-6A45-A6CC-96AB4EB268D9}" name="Age" dataDxfId="44"/>
    <tableColumn id="3" xr3:uid="{115B7F47-2824-7B4E-837E-217E88EF3C65}" name="Expected daily hire rate" dataDxfId="43"/>
    <tableColumn id="4" xr3:uid="{CD264113-41B4-E349-979C-12906B192EA8}" name="Operating days" dataDxfId="42">
      <calculatedColumnFormula>365 - IF(C1&lt;=5,8,IF(C1&lt;=10,12,16))</calculatedColumnFormula>
    </tableColumn>
    <tableColumn id="5" xr3:uid="{6B548934-35F4-4240-8476-4A0A884A695F}" name="Daily operating Cost" dataDxfId="41">
      <calculatedColumnFormula>F2*(1+0.03)*(1+0.01)</calculatedColumnFormula>
    </tableColumn>
    <tableColumn id="6" xr3:uid="{25F7A39C-BCB5-EF4B-B24E-5D02D01A6136}" name="Operating cost" dataDxfId="40">
      <calculatedColumnFormula>F3*365</calculatedColumnFormula>
    </tableColumn>
    <tableColumn id="7" xr3:uid="{AEDD7AED-5A76-BA4F-BB82-F372A0309808}" name="." dataDxfId="39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C76B3B-F9A2-0C4E-A3C7-FA67ABE8D3FC}" name="Table2" displayName="Table2" ref="C40:T57" totalsRowShown="0" dataDxfId="38">
  <autoFilter ref="C40:T57" xr:uid="{2EC76B3B-F9A2-0C4E-A3C7-FA67ABE8D3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206CB77-0CD7-3D4E-A83A-CA8A4B9AB05A}" name="Year" dataDxfId="37"/>
    <tableColumn id="2" xr3:uid="{762E445B-5BE0-484D-828B-8EABB8D932C7}" name="Age (yrs)" dataDxfId="36"/>
    <tableColumn id="3" xr3:uid="{1DB4F25A-A35D-5F48-AE52-30B568AFD0A1}" name="Revenue" dataDxfId="35">
      <calculatedColumnFormula>'Rates &amp; Ops'!D3*'Rates &amp; Ops'!E3</calculatedColumnFormula>
    </tableColumn>
    <tableColumn id="4" xr3:uid="{EC1A0133-5A25-2147-A80C-204A029DFCD9}" name="Op Cost" dataDxfId="34">
      <calculatedColumnFormula>'Rates &amp; Ops'!G3</calculatedColumnFormula>
    </tableColumn>
    <tableColumn id="5" xr3:uid="{14FF965C-F922-7F46-B1CD-4853CA572FB4}" name="Depreciation" dataDxfId="33"/>
    <tableColumn id="6" xr3:uid="{C7D8FC85-33A8-C24E-BAF4-3E8537FA6A21}" name="EBIT" dataDxfId="32">
      <calculatedColumnFormula>E41-F41-G41</calculatedColumnFormula>
    </tableColumn>
    <tableColumn id="7" xr3:uid="{6137D083-8F92-8247-B9F6-7FB582075089}" name="Tax (NY)" dataDxfId="31">
      <calculatedColumnFormula>MAX(0, H41 * Inputs!$C$19)</calculatedColumnFormula>
    </tableColumn>
    <tableColumn id="8" xr3:uid="{A4857754-F48A-8343-AAC6-0D1CE0C36B75}" name="Tax (HK)" dataDxfId="30"/>
    <tableColumn id="18" xr3:uid="{9815F1A1-B9CA-324B-A3BC-71EC4E8C07EE}" name="Net Income NY" dataDxfId="29">
      <calculatedColumnFormula>0.65*Table2[[#This Row],[EBIT]]</calculatedColumnFormula>
    </tableColumn>
    <tableColumn id="9" xr3:uid="{56256F8A-8C08-624E-ADA5-6512EB2E097B}" name="OCF NY " dataDxfId="28">
      <calculatedColumnFormula>H41*0.65+G41</calculatedColumnFormula>
    </tableColumn>
    <tableColumn id="10" xr3:uid="{DB4C8CF9-49CC-2D49-9640-F549BA94D093}" name="OCF HK" dataDxfId="27">
      <calculatedColumnFormula>H41+G41</calculatedColumnFormula>
    </tableColumn>
    <tableColumn id="11" xr3:uid="{1685CE64-5C9E-AE4E-B058-3A9B40C68276}" name="Capex" dataDxfId="26"/>
    <tableColumn id="12" xr3:uid="{8008F806-694A-EF41-B6DF-3537877FC790}" name="ΔNWC" dataDxfId="25"/>
    <tableColumn id="13" xr3:uid="{F8E36230-DD6D-EB4D-9BE9-A3591BF745CD}" name="FCF (NY)" dataDxfId="24"/>
    <tableColumn id="14" xr3:uid="{5491CC1B-8DC0-C341-AED2-3A63B28BA989}" name="FCF (HK)" dataDxfId="23">
      <calculatedColumnFormula>M41+N41+O41</calculatedColumnFormula>
    </tableColumn>
    <tableColumn id="15" xr3:uid="{E95E9DF0-9B14-B34A-B6F4-D9B411E9E2C6}" name="DCF (NY)" dataDxfId="22">
      <calculatedColumnFormula>P41/1.09^$T41</calculatedColumnFormula>
    </tableColumn>
    <tableColumn id="16" xr3:uid="{B749F591-5909-A64C-B3EA-E583C3873FB9}" name="DCF (HK)" dataDxfId="21">
      <calculatedColumnFormula>Q41/1.09^$T41</calculatedColumnFormula>
    </tableColumn>
    <tableColumn id="17" xr3:uid="{C21883E4-CDC8-FA41-94E3-D2FF055614B2}" name="Period" dataDxfId="2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E0A6D-B99A-8548-BAB6-F73B63E1960B}" name="Table1" displayName="Table1" ref="C2:T29" totalsRowShown="0" dataDxfId="19">
  <autoFilter ref="C2:T29" xr:uid="{1ECE0A6D-B99A-8548-BAB6-F73B63E196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7B5E0F9-91E0-5740-8BA6-A7B232206600}" name="Year" dataDxfId="18"/>
    <tableColumn id="2" xr3:uid="{489CAA6B-BDA8-294C-864D-1ABB7CDEF894}" name="Age (yrs)" dataDxfId="17"/>
    <tableColumn id="3" xr3:uid="{373766CE-0567-354F-B64F-00F723096668}" name="Revenues" dataDxfId="16">
      <calculatedColumnFormula>'Rates &amp; Ops'!D3*'Rates &amp; Ops'!E3</calculatedColumnFormula>
    </tableColumn>
    <tableColumn id="4" xr3:uid="{FFAA232A-DC64-964E-9256-C546D75478C9}" name="Operatig Expenses" dataDxfId="15">
      <calculatedColumnFormula>'Rates &amp; Ops'!G3</calculatedColumnFormula>
    </tableColumn>
    <tableColumn id="5" xr3:uid="{C0698614-A153-974F-81AA-CC09496977FA}" name="Depreciation" dataDxfId="14">
      <calculatedColumnFormula>39000000/25+850000/5</calculatedColumnFormula>
    </tableColumn>
    <tableColumn id="6" xr3:uid="{724243A1-2C8E-9543-8324-063C0F5D759B}" name="EBIT" dataDxfId="13">
      <calculatedColumnFormula>E3-F3-G3</calculatedColumnFormula>
    </tableColumn>
    <tableColumn id="7" xr3:uid="{595B8AE2-0C8A-1141-A3C3-5F10E41B754A}" name="Tax (NY)" dataDxfId="12">
      <calculatedColumnFormula>MAX(0, H3 * Inputs!$C$19)</calculatedColumnFormula>
    </tableColumn>
    <tableColumn id="8" xr3:uid="{E8875738-DA37-9240-9466-70F5BF03FB38}" name="Tax (HK)" dataDxfId="11"/>
    <tableColumn id="19" xr3:uid="{BC16189E-962B-6B4D-83D1-11AAC3A6BDAE}" name="Net Income NY" dataDxfId="10">
      <calculatedColumnFormula>0.65*Table1[[#This Row],[EBIT]]</calculatedColumnFormula>
    </tableColumn>
    <tableColumn id="9" xr3:uid="{3EC07964-4C91-BA41-AF35-87C7FE595534}" name="OCF NY " dataDxfId="9">
      <calculatedColumnFormula>H3*0.65+G3</calculatedColumnFormula>
    </tableColumn>
    <tableColumn id="10" xr3:uid="{836E02AA-20B0-754F-A3C2-90D0A66C5008}" name="OCF HK" dataDxfId="8">
      <calculatedColumnFormula>H3+G3</calculatedColumnFormula>
    </tableColumn>
    <tableColumn id="11" xr3:uid="{A2F21B48-DE78-5C4D-8C8E-4B4AFB429BDC}" name="Capex" dataDxfId="7"/>
    <tableColumn id="12" xr3:uid="{12351AED-4F8C-4B41-B71D-CBAC290E6A27}" name="ΔNWC" dataDxfId="6"/>
    <tableColumn id="13" xr3:uid="{5D1294DA-9B52-284A-B412-9FA2A2240F57}" name="FCF (NY)" dataDxfId="5">
      <calculatedColumnFormula>L3+N3+O3</calculatedColumnFormula>
    </tableColumn>
    <tableColumn id="14" xr3:uid="{6969AB5F-4B61-FD40-B7D9-2BBB964AD8D9}" name="FCF (HK)" dataDxfId="4">
      <calculatedColumnFormula>M3+N3+O3</calculatedColumnFormula>
    </tableColumn>
    <tableColumn id="15" xr3:uid="{F2F43CEE-D302-0B42-BA1A-7AAFCA53320A}" name="DCF (NY) " dataDxfId="3">
      <calculatedColumnFormula>P3/(1.09)^$T3</calculatedColumnFormula>
    </tableColumn>
    <tableColumn id="16" xr3:uid="{3EBDCC56-C992-1A49-BCF1-2EA599A4DB02}" name="DCF (HK)" dataDxfId="2">
      <calculatedColumnFormula>Q3/1.09^$T3</calculatedColumnFormula>
    </tableColumn>
    <tableColumn id="17" xr3:uid="{BE1B6BB4-FFCF-BC40-BD96-8CB7BFEEB70A}" name="Period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230D-69E5-A047-A6C4-5FAB5CC94D4F}">
  <dimension ref="A1"/>
  <sheetViews>
    <sheetView workbookViewId="0">
      <selection activeCell="C24" sqref="C24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90E9-FE7F-C143-865B-422724D81AF9}">
  <dimension ref="B2:J19"/>
  <sheetViews>
    <sheetView workbookViewId="0">
      <selection activeCell="C7" sqref="C7"/>
    </sheetView>
  </sheetViews>
  <sheetFormatPr baseColWidth="10" defaultRowHeight="16" x14ac:dyDescent="0.2"/>
  <cols>
    <col min="2" max="2" width="18.33203125" customWidth="1"/>
    <col min="3" max="3" width="11.1640625" bestFit="1" customWidth="1"/>
  </cols>
  <sheetData>
    <row r="2" spans="2:10" x14ac:dyDescent="0.2">
      <c r="B2" t="s">
        <v>0</v>
      </c>
      <c r="C2" s="1">
        <v>0.09</v>
      </c>
    </row>
    <row r="3" spans="2:10" x14ac:dyDescent="0.2">
      <c r="B3" t="s">
        <v>1</v>
      </c>
      <c r="C3" s="2">
        <v>0.03</v>
      </c>
      <c r="F3" t="s">
        <v>6</v>
      </c>
      <c r="G3" t="s">
        <v>7</v>
      </c>
      <c r="I3" t="s">
        <v>9</v>
      </c>
      <c r="J3">
        <v>15</v>
      </c>
    </row>
    <row r="4" spans="2:10" x14ac:dyDescent="0.2">
      <c r="B4" t="s">
        <v>2</v>
      </c>
      <c r="C4" s="2">
        <v>0.35</v>
      </c>
      <c r="G4" t="s">
        <v>8</v>
      </c>
      <c r="J4">
        <v>25</v>
      </c>
    </row>
    <row r="5" spans="2:10" x14ac:dyDescent="0.2">
      <c r="B5" t="s">
        <v>3</v>
      </c>
      <c r="C5" s="2">
        <v>0</v>
      </c>
    </row>
    <row r="6" spans="2:10" x14ac:dyDescent="0.2">
      <c r="B6" t="s">
        <v>4</v>
      </c>
      <c r="C6">
        <v>2001</v>
      </c>
    </row>
    <row r="7" spans="2:10" x14ac:dyDescent="0.2">
      <c r="B7" t="s">
        <v>10</v>
      </c>
      <c r="C7" t="s">
        <v>7</v>
      </c>
      <c r="E7" t="s">
        <v>31</v>
      </c>
    </row>
    <row r="8" spans="2:10" x14ac:dyDescent="0.2">
      <c r="B8" t="s">
        <v>5</v>
      </c>
      <c r="C8">
        <v>15</v>
      </c>
    </row>
    <row r="10" spans="2:10" x14ac:dyDescent="0.2">
      <c r="B10" t="s">
        <v>11</v>
      </c>
      <c r="C10" s="3">
        <v>39000000</v>
      </c>
    </row>
    <row r="11" spans="2:10" x14ac:dyDescent="0.2">
      <c r="B11" t="s">
        <v>12</v>
      </c>
    </row>
    <row r="12" spans="2:10" x14ac:dyDescent="0.2">
      <c r="B12" t="s">
        <v>13</v>
      </c>
      <c r="C12" s="1">
        <v>0.1</v>
      </c>
    </row>
    <row r="13" spans="2:10" x14ac:dyDescent="0.2">
      <c r="B13" t="s">
        <v>14</v>
      </c>
      <c r="C13" s="1">
        <v>0.1</v>
      </c>
    </row>
    <row r="14" spans="2:10" x14ac:dyDescent="0.2">
      <c r="B14" t="s">
        <v>15</v>
      </c>
      <c r="C14" s="1">
        <v>0.8</v>
      </c>
    </row>
    <row r="15" spans="2:10" x14ac:dyDescent="0.2">
      <c r="B15" t="s">
        <v>16</v>
      </c>
      <c r="C15" s="3">
        <v>500000</v>
      </c>
    </row>
    <row r="16" spans="2:10" x14ac:dyDescent="0.2">
      <c r="B16" t="s">
        <v>17</v>
      </c>
      <c r="C16" t="s">
        <v>18</v>
      </c>
    </row>
    <row r="17" spans="2:3" x14ac:dyDescent="0.2">
      <c r="B17" t="s">
        <v>19</v>
      </c>
      <c r="C17" s="3">
        <v>5000000</v>
      </c>
    </row>
    <row r="19" spans="2:3" x14ac:dyDescent="0.2">
      <c r="B19" t="s">
        <v>20</v>
      </c>
      <c r="C19">
        <f>IF(C7="New York", 35%,0%)</f>
        <v>0.35</v>
      </c>
    </row>
  </sheetData>
  <dataValidations count="2">
    <dataValidation type="list" allowBlank="1" showInputMessage="1" showErrorMessage="1" sqref="C7" xr:uid="{2D7174F6-A84F-0245-9E6C-8210FEC4ED17}">
      <formula1>$G$3:$G$4</formula1>
    </dataValidation>
    <dataValidation type="list" allowBlank="1" showInputMessage="1" showErrorMessage="1" sqref="C8" xr:uid="{4D7B5D43-B8F8-3C4F-B2B9-73EC018B00D4}">
      <formula1>$J$3:$J$4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2AFB-3027-A247-8DB9-BF4E31895B05}">
  <dimension ref="B2:H31"/>
  <sheetViews>
    <sheetView tabSelected="1" workbookViewId="0">
      <selection activeCell="N18" sqref="N18"/>
    </sheetView>
  </sheetViews>
  <sheetFormatPr baseColWidth="10" defaultRowHeight="16" x14ac:dyDescent="0.2"/>
  <cols>
    <col min="4" max="4" width="22.33203125" customWidth="1"/>
    <col min="5" max="5" width="17.33203125" customWidth="1"/>
    <col min="6" max="6" width="20.1640625" customWidth="1"/>
    <col min="7" max="7" width="15.33203125" customWidth="1"/>
  </cols>
  <sheetData>
    <row r="2" spans="2:8" x14ac:dyDescent="0.2">
      <c r="B2" t="s">
        <v>21</v>
      </c>
      <c r="C2" t="s">
        <v>60</v>
      </c>
      <c r="D2" t="s">
        <v>22</v>
      </c>
      <c r="E2" t="s">
        <v>23</v>
      </c>
      <c r="F2" t="s">
        <v>58</v>
      </c>
      <c r="G2" t="s">
        <v>59</v>
      </c>
      <c r="H2" s="9" t="s">
        <v>61</v>
      </c>
    </row>
    <row r="3" spans="2:8" x14ac:dyDescent="0.2">
      <c r="B3" s="11">
        <v>2001</v>
      </c>
      <c r="C3" s="11"/>
      <c r="D3" s="11"/>
      <c r="E3" s="11"/>
      <c r="F3" s="11"/>
      <c r="G3" s="11"/>
      <c r="H3" s="11"/>
    </row>
    <row r="4" spans="2:8" x14ac:dyDescent="0.2">
      <c r="B4" s="11">
        <v>2002</v>
      </c>
      <c r="C4" s="11"/>
      <c r="D4" s="11"/>
      <c r="E4" s="11"/>
      <c r="F4" s="11"/>
      <c r="G4" s="11"/>
      <c r="H4" s="11"/>
    </row>
    <row r="5" spans="2:8" x14ac:dyDescent="0.2">
      <c r="B5" s="11">
        <v>2003</v>
      </c>
      <c r="C5" s="11">
        <v>1</v>
      </c>
      <c r="D5" s="11">
        <v>20000</v>
      </c>
      <c r="E5" s="11">
        <f>365 - IF(C3&lt;=5,8,IF(C3&lt;=10,12,16))</f>
        <v>357</v>
      </c>
      <c r="F5" s="11">
        <v>4000</v>
      </c>
      <c r="G5" s="11">
        <f>F5*365</f>
        <v>1460000</v>
      </c>
      <c r="H5" s="11"/>
    </row>
    <row r="6" spans="2:8" x14ac:dyDescent="0.2">
      <c r="B6" s="11">
        <v>2004</v>
      </c>
      <c r="C6" s="11">
        <v>2</v>
      </c>
      <c r="D6" s="11">
        <v>20200</v>
      </c>
      <c r="E6" s="11">
        <v>358</v>
      </c>
      <c r="F6" s="11">
        <f>F5*(1+0.03)*(1+0.01)</f>
        <v>4161.2</v>
      </c>
      <c r="G6" s="11">
        <f>F6*366</f>
        <v>1522999.2</v>
      </c>
      <c r="H6" s="11" t="s">
        <v>32</v>
      </c>
    </row>
    <row r="7" spans="2:8" x14ac:dyDescent="0.2">
      <c r="B7" s="11">
        <v>2005</v>
      </c>
      <c r="C7" s="11">
        <v>3</v>
      </c>
      <c r="D7" s="11">
        <v>20400</v>
      </c>
      <c r="E7" s="11">
        <f t="shared" ref="E7:E29" si="0">365 - IF(C5&lt;=5,8,IF(C5&lt;=10,12,16))</f>
        <v>357</v>
      </c>
      <c r="F7" s="11">
        <f t="shared" ref="F7:F29" si="1">F6*(1+0.03)*(1+0.01)</f>
        <v>4328.8963599999997</v>
      </c>
      <c r="G7" s="11">
        <f t="shared" ref="G7:G29" si="2">F7*365</f>
        <v>1580047.1713999999</v>
      </c>
      <c r="H7" s="11"/>
    </row>
    <row r="8" spans="2:8" x14ac:dyDescent="0.2">
      <c r="B8" s="11">
        <v>2006</v>
      </c>
      <c r="C8" s="11">
        <v>4</v>
      </c>
      <c r="D8" s="13">
        <v>18714</v>
      </c>
      <c r="E8" s="11">
        <f t="shared" si="0"/>
        <v>357</v>
      </c>
      <c r="F8" s="11">
        <f t="shared" si="1"/>
        <v>4503.3508833079995</v>
      </c>
      <c r="G8" s="11">
        <f t="shared" si="2"/>
        <v>1643723.0724074198</v>
      </c>
      <c r="H8" s="11"/>
    </row>
    <row r="9" spans="2:8" x14ac:dyDescent="0.2">
      <c r="B9" s="11">
        <v>2007</v>
      </c>
      <c r="C9" s="11">
        <v>5</v>
      </c>
      <c r="D9" s="11">
        <v>17283</v>
      </c>
      <c r="E9" s="11">
        <f t="shared" si="0"/>
        <v>357</v>
      </c>
      <c r="F9" s="11">
        <f t="shared" si="1"/>
        <v>4684.8359239053116</v>
      </c>
      <c r="G9" s="11">
        <f t="shared" si="2"/>
        <v>1709965.1122254387</v>
      </c>
      <c r="H9" s="11"/>
    </row>
    <row r="10" spans="2:8" x14ac:dyDescent="0.2">
      <c r="B10" s="11">
        <v>2008</v>
      </c>
      <c r="C10" s="11">
        <v>6</v>
      </c>
      <c r="D10" s="11">
        <v>17481</v>
      </c>
      <c r="E10" s="11">
        <v>354</v>
      </c>
      <c r="F10" s="11">
        <f t="shared" si="1"/>
        <v>4873.6348116386953</v>
      </c>
      <c r="G10" s="11">
        <f>F10*366</f>
        <v>1783750.3410597625</v>
      </c>
      <c r="H10" s="11" t="s">
        <v>32</v>
      </c>
    </row>
    <row r="11" spans="2:8" x14ac:dyDescent="0.2">
      <c r="B11" s="11">
        <v>2009</v>
      </c>
      <c r="C11" s="11">
        <v>7</v>
      </c>
      <c r="D11" s="11">
        <v>17682</v>
      </c>
      <c r="E11" s="11">
        <v>353</v>
      </c>
      <c r="F11" s="11">
        <f t="shared" si="1"/>
        <v>5070.0422945477349</v>
      </c>
      <c r="G11" s="11">
        <f t="shared" si="2"/>
        <v>1850565.4375099232</v>
      </c>
      <c r="H11" s="11"/>
    </row>
    <row r="12" spans="2:8" x14ac:dyDescent="0.2">
      <c r="B12" s="11">
        <v>2010</v>
      </c>
      <c r="C12" s="11">
        <v>8</v>
      </c>
      <c r="D12" s="11">
        <v>17886</v>
      </c>
      <c r="E12" s="11">
        <f t="shared" si="0"/>
        <v>353</v>
      </c>
      <c r="F12" s="11">
        <f t="shared" si="1"/>
        <v>5274.3649990180093</v>
      </c>
      <c r="G12" s="11">
        <f t="shared" si="2"/>
        <v>1925143.2246415734</v>
      </c>
      <c r="H12" s="11"/>
    </row>
    <row r="13" spans="2:8" x14ac:dyDescent="0.2">
      <c r="B13" s="11">
        <v>2011</v>
      </c>
      <c r="C13" s="11">
        <v>9</v>
      </c>
      <c r="D13" s="11">
        <v>18092</v>
      </c>
      <c r="E13" s="11">
        <f t="shared" si="0"/>
        <v>353</v>
      </c>
      <c r="F13" s="11">
        <f t="shared" si="1"/>
        <v>5486.9219084784354</v>
      </c>
      <c r="G13" s="11">
        <f t="shared" si="2"/>
        <v>2002726.496594629</v>
      </c>
      <c r="H13" s="11"/>
    </row>
    <row r="14" spans="2:8" x14ac:dyDescent="0.2">
      <c r="B14" s="11">
        <v>2012</v>
      </c>
      <c r="C14" s="11">
        <v>10</v>
      </c>
      <c r="D14" s="11">
        <v>17428</v>
      </c>
      <c r="E14" s="11">
        <v>354</v>
      </c>
      <c r="F14" s="11">
        <f t="shared" si="1"/>
        <v>5708.0448613901171</v>
      </c>
      <c r="G14" s="11">
        <f>F14*366</f>
        <v>2089144.4192687829</v>
      </c>
      <c r="H14" s="11" t="s">
        <v>32</v>
      </c>
    </row>
    <row r="15" spans="2:8" x14ac:dyDescent="0.2">
      <c r="B15" s="11">
        <v>2013</v>
      </c>
      <c r="C15" s="11">
        <v>11</v>
      </c>
      <c r="D15" s="11">
        <v>17628</v>
      </c>
      <c r="E15" s="11">
        <v>349</v>
      </c>
      <c r="F15" s="11">
        <f t="shared" si="1"/>
        <v>5938.0790693041399</v>
      </c>
      <c r="G15" s="11">
        <f t="shared" si="2"/>
        <v>2167398.860296011</v>
      </c>
      <c r="H15" s="11"/>
    </row>
    <row r="16" spans="2:8" x14ac:dyDescent="0.2">
      <c r="B16" s="11">
        <v>2014</v>
      </c>
      <c r="C16" s="11">
        <v>12</v>
      </c>
      <c r="D16" s="11">
        <v>17831</v>
      </c>
      <c r="E16" s="11">
        <v>349</v>
      </c>
      <c r="F16" s="11">
        <f t="shared" si="1"/>
        <v>6177.3836557970972</v>
      </c>
      <c r="G16" s="11">
        <f t="shared" si="2"/>
        <v>2254745.0343659404</v>
      </c>
      <c r="H16" s="11"/>
    </row>
    <row r="17" spans="2:8" x14ac:dyDescent="0.2">
      <c r="B17" s="11">
        <v>2015</v>
      </c>
      <c r="C17" s="11">
        <v>13</v>
      </c>
      <c r="D17" s="11">
        <v>18036</v>
      </c>
      <c r="E17" s="11">
        <f t="shared" si="0"/>
        <v>349</v>
      </c>
      <c r="F17" s="11">
        <f t="shared" si="1"/>
        <v>6426.3322171257205</v>
      </c>
      <c r="G17" s="11">
        <f t="shared" si="2"/>
        <v>2345611.2592508881</v>
      </c>
      <c r="H17" s="11"/>
    </row>
    <row r="18" spans="2:8" x14ac:dyDescent="0.2">
      <c r="B18" s="11">
        <v>2016</v>
      </c>
      <c r="C18" s="11">
        <v>14</v>
      </c>
      <c r="D18" s="11">
        <v>18243</v>
      </c>
      <c r="E18" s="11">
        <v>350</v>
      </c>
      <c r="F18" s="11">
        <f t="shared" si="1"/>
        <v>6685.3134054758875</v>
      </c>
      <c r="G18" s="11">
        <f>F18*366</f>
        <v>2446824.7064041747</v>
      </c>
      <c r="H18" s="11" t="s">
        <v>32</v>
      </c>
    </row>
    <row r="19" spans="2:8" x14ac:dyDescent="0.2">
      <c r="B19" s="11">
        <v>2017</v>
      </c>
      <c r="C19" s="11">
        <v>15</v>
      </c>
      <c r="D19" s="11">
        <v>14762</v>
      </c>
      <c r="E19" s="11">
        <f t="shared" si="0"/>
        <v>349</v>
      </c>
      <c r="F19" s="11">
        <f t="shared" si="1"/>
        <v>6954.7315357165653</v>
      </c>
      <c r="G19" s="11">
        <f t="shared" si="2"/>
        <v>2538477.0105365464</v>
      </c>
      <c r="H19" s="11"/>
    </row>
    <row r="20" spans="2:8" x14ac:dyDescent="0.2">
      <c r="B20" s="11">
        <v>2018</v>
      </c>
      <c r="C20" s="11">
        <v>16</v>
      </c>
      <c r="D20" s="11">
        <v>14932</v>
      </c>
      <c r="E20" s="11">
        <f t="shared" si="0"/>
        <v>349</v>
      </c>
      <c r="F20" s="11">
        <f t="shared" si="1"/>
        <v>7235.0072166059426</v>
      </c>
      <c r="G20" s="11">
        <f t="shared" si="2"/>
        <v>2640777.6340611689</v>
      </c>
      <c r="H20" s="11"/>
    </row>
    <row r="21" spans="2:8" x14ac:dyDescent="0.2">
      <c r="B21" s="11">
        <v>2019</v>
      </c>
      <c r="C21" s="11">
        <v>17</v>
      </c>
      <c r="D21" s="11">
        <v>15104</v>
      </c>
      <c r="E21" s="11">
        <f t="shared" si="0"/>
        <v>349</v>
      </c>
      <c r="F21" s="11">
        <f t="shared" si="1"/>
        <v>7526.5780074351624</v>
      </c>
      <c r="G21" s="11">
        <f t="shared" si="2"/>
        <v>2747200.9727138341</v>
      </c>
      <c r="H21" s="11"/>
    </row>
    <row r="22" spans="2:8" x14ac:dyDescent="0.2">
      <c r="B22" s="11">
        <v>2020</v>
      </c>
      <c r="C22" s="11">
        <v>18</v>
      </c>
      <c r="D22" s="11">
        <v>15278</v>
      </c>
      <c r="E22" s="11">
        <v>350</v>
      </c>
      <c r="F22" s="11">
        <f t="shared" si="1"/>
        <v>7829.8991011347998</v>
      </c>
      <c r="G22" s="11">
        <f>F22*366</f>
        <v>2865743.0710153366</v>
      </c>
      <c r="H22" s="11" t="s">
        <v>32</v>
      </c>
    </row>
    <row r="23" spans="2:8" x14ac:dyDescent="0.2">
      <c r="B23" s="11">
        <v>2021</v>
      </c>
      <c r="C23" s="11">
        <v>19</v>
      </c>
      <c r="D23" s="11">
        <v>15454</v>
      </c>
      <c r="E23" s="11">
        <f t="shared" si="0"/>
        <v>349</v>
      </c>
      <c r="F23" s="11">
        <f t="shared" si="1"/>
        <v>8145.4440349105325</v>
      </c>
      <c r="G23" s="11">
        <f t="shared" si="2"/>
        <v>2973087.0727423443</v>
      </c>
      <c r="H23" s="11"/>
    </row>
    <row r="24" spans="2:8" x14ac:dyDescent="0.2">
      <c r="B24" s="11">
        <v>2022</v>
      </c>
      <c r="C24" s="11">
        <v>20</v>
      </c>
      <c r="D24" s="11">
        <v>14654</v>
      </c>
      <c r="E24" s="11">
        <f t="shared" si="0"/>
        <v>349</v>
      </c>
      <c r="F24" s="11">
        <f t="shared" si="1"/>
        <v>8473.7054295174257</v>
      </c>
      <c r="G24" s="11">
        <f t="shared" si="2"/>
        <v>3092902.4817738603</v>
      </c>
      <c r="H24" s="11"/>
    </row>
    <row r="25" spans="2:8" x14ac:dyDescent="0.2">
      <c r="B25" s="11">
        <v>2023</v>
      </c>
      <c r="C25" s="11">
        <v>21</v>
      </c>
      <c r="D25" s="11">
        <v>14823</v>
      </c>
      <c r="E25" s="11">
        <f t="shared" si="0"/>
        <v>349</v>
      </c>
      <c r="F25" s="11">
        <f t="shared" si="1"/>
        <v>8815.1957583269796</v>
      </c>
      <c r="G25" s="11">
        <f t="shared" si="2"/>
        <v>3217546.4517893475</v>
      </c>
      <c r="H25" s="11"/>
    </row>
    <row r="26" spans="2:8" x14ac:dyDescent="0.2">
      <c r="B26" s="11">
        <v>2024</v>
      </c>
      <c r="C26" s="11">
        <v>22</v>
      </c>
      <c r="D26" s="11">
        <v>14993</v>
      </c>
      <c r="E26" s="11">
        <v>350</v>
      </c>
      <c r="F26" s="11">
        <f t="shared" si="1"/>
        <v>9170.4481473875567</v>
      </c>
      <c r="G26" s="11">
        <f>F26*366</f>
        <v>3356384.0219438458</v>
      </c>
      <c r="H26" s="11" t="s">
        <v>32</v>
      </c>
    </row>
    <row r="27" spans="2:8" x14ac:dyDescent="0.2">
      <c r="B27" s="11">
        <v>2025</v>
      </c>
      <c r="C27" s="11">
        <v>23</v>
      </c>
      <c r="D27" s="11">
        <v>15166</v>
      </c>
      <c r="E27" s="11">
        <f t="shared" si="0"/>
        <v>349</v>
      </c>
      <c r="F27" s="11">
        <f t="shared" si="1"/>
        <v>9540.0172077272764</v>
      </c>
      <c r="G27" s="11">
        <f t="shared" si="2"/>
        <v>3482106.2808204559</v>
      </c>
      <c r="H27" s="11"/>
    </row>
    <row r="28" spans="2:8" x14ac:dyDescent="0.2">
      <c r="B28" s="11">
        <v>2026</v>
      </c>
      <c r="C28" s="11">
        <v>24</v>
      </c>
      <c r="D28" s="11">
        <v>15341</v>
      </c>
      <c r="E28" s="11">
        <f t="shared" si="0"/>
        <v>349</v>
      </c>
      <c r="F28" s="11">
        <f t="shared" si="1"/>
        <v>9924.4799011986852</v>
      </c>
      <c r="G28" s="11">
        <f t="shared" si="2"/>
        <v>3622435.1639375202</v>
      </c>
      <c r="H28" s="11"/>
    </row>
    <row r="29" spans="2:8" x14ac:dyDescent="0.2">
      <c r="B29" s="11">
        <v>2027</v>
      </c>
      <c r="C29" s="11">
        <v>25</v>
      </c>
      <c r="D29" s="11">
        <v>13448</v>
      </c>
      <c r="E29" s="11">
        <f t="shared" si="0"/>
        <v>349</v>
      </c>
      <c r="F29" s="11">
        <f t="shared" si="1"/>
        <v>10324.436441216993</v>
      </c>
      <c r="G29" s="11">
        <f t="shared" si="2"/>
        <v>3768419.3010442024</v>
      </c>
      <c r="H29" s="11"/>
    </row>
    <row r="31" spans="2:8" x14ac:dyDescent="0.2">
      <c r="F31" t="s">
        <v>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34A4-6BA0-A443-AA1A-7B8BA0259763}">
  <dimension ref="C2:Z114"/>
  <sheetViews>
    <sheetView topLeftCell="A21" zoomScale="82" workbookViewId="0">
      <selection activeCell="P62" sqref="P62"/>
    </sheetView>
  </sheetViews>
  <sheetFormatPr baseColWidth="10" defaultRowHeight="16" x14ac:dyDescent="0.2"/>
  <cols>
    <col min="1" max="1" width="10.83203125" customWidth="1"/>
    <col min="3" max="4" width="11" bestFit="1" customWidth="1"/>
    <col min="5" max="5" width="12.6640625" customWidth="1"/>
    <col min="6" max="6" width="17.83203125" customWidth="1"/>
    <col min="7" max="7" width="13.83203125" customWidth="1"/>
    <col min="8" max="9" width="12.83203125" bestFit="1" customWidth="1"/>
    <col min="10" max="10" width="11.1640625" bestFit="1" customWidth="1"/>
    <col min="11" max="11" width="14.83203125" customWidth="1"/>
    <col min="12" max="12" width="12.83203125" bestFit="1" customWidth="1"/>
    <col min="13" max="13" width="14.5" bestFit="1" customWidth="1"/>
    <col min="14" max="14" width="11.83203125" bestFit="1" customWidth="1"/>
    <col min="15" max="15" width="17.1640625" customWidth="1"/>
    <col min="16" max="16" width="17" customWidth="1"/>
    <col min="17" max="18" width="14.5" bestFit="1" customWidth="1"/>
    <col min="19" max="19" width="11.5" bestFit="1" customWidth="1"/>
  </cols>
  <sheetData>
    <row r="2" spans="3:26" x14ac:dyDescent="0.2">
      <c r="C2" t="s">
        <v>21</v>
      </c>
      <c r="D2" t="s">
        <v>42</v>
      </c>
      <c r="E2" t="s">
        <v>46</v>
      </c>
      <c r="F2" t="s">
        <v>47</v>
      </c>
      <c r="G2" t="s">
        <v>26</v>
      </c>
      <c r="H2" t="s">
        <v>27</v>
      </c>
      <c r="I2" t="s">
        <v>34</v>
      </c>
      <c r="J2" t="s">
        <v>41</v>
      </c>
      <c r="K2" t="s">
        <v>68</v>
      </c>
      <c r="L2" t="s">
        <v>28</v>
      </c>
      <c r="M2" t="s">
        <v>29</v>
      </c>
      <c r="N2" t="s">
        <v>30</v>
      </c>
      <c r="O2" t="s">
        <v>43</v>
      </c>
      <c r="P2" t="s">
        <v>44</v>
      </c>
      <c r="Q2" t="s">
        <v>45</v>
      </c>
      <c r="R2" t="s">
        <v>51</v>
      </c>
      <c r="S2" t="s">
        <v>49</v>
      </c>
      <c r="T2" t="s">
        <v>50</v>
      </c>
      <c r="W2" t="s">
        <v>35</v>
      </c>
      <c r="X2">
        <f>SUM(R3:R29)</f>
        <v>-4848076.6112303231</v>
      </c>
      <c r="Y2" t="s">
        <v>39</v>
      </c>
      <c r="Z2" s="2">
        <f>IRR(P3:P29)</f>
        <v>6.6435261646117683E-2</v>
      </c>
    </row>
    <row r="3" spans="3:26" x14ac:dyDescent="0.2">
      <c r="C3" s="11">
        <v>2001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>
        <v>-3900000</v>
      </c>
      <c r="O3" s="11"/>
      <c r="P3" s="11">
        <v>-3900000</v>
      </c>
      <c r="Q3" s="11">
        <v>-3900000</v>
      </c>
      <c r="R3" s="11">
        <f t="shared" ref="R3:R29" si="0">P3/(1.09)^$T3</f>
        <v>-3900000</v>
      </c>
      <c r="S3" s="11">
        <f t="shared" ref="S3:S29" si="1">Q3/1.09^$T3</f>
        <v>-3900000</v>
      </c>
      <c r="T3" s="11">
        <v>0</v>
      </c>
      <c r="W3" t="s">
        <v>36</v>
      </c>
      <c r="X3">
        <f>SUM(S3:S29)</f>
        <v>3467958.4425579477</v>
      </c>
      <c r="Y3" t="s">
        <v>40</v>
      </c>
      <c r="Z3" s="2">
        <f>IRR(Q3:Q29)</f>
        <v>0.10752724675281189</v>
      </c>
    </row>
    <row r="4" spans="3:26" x14ac:dyDescent="0.2">
      <c r="C4" s="11">
        <v>2002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>
        <v>-3900000</v>
      </c>
      <c r="O4" s="11"/>
      <c r="P4" s="11">
        <v>-3900000</v>
      </c>
      <c r="Q4" s="11">
        <v>-3900000</v>
      </c>
      <c r="R4" s="11">
        <f t="shared" si="0"/>
        <v>-3577981.6513761464</v>
      </c>
      <c r="S4" s="11">
        <f t="shared" si="1"/>
        <v>-3577981.6513761464</v>
      </c>
      <c r="T4" s="11">
        <v>1</v>
      </c>
    </row>
    <row r="5" spans="3:26" x14ac:dyDescent="0.2">
      <c r="C5" s="11">
        <v>2003</v>
      </c>
      <c r="D5" s="11">
        <v>1</v>
      </c>
      <c r="E5" s="11">
        <f>'Rates &amp; Ops'!D5*'Rates &amp; Ops'!E5</f>
        <v>7140000</v>
      </c>
      <c r="F5" s="12">
        <f>'Rates &amp; Ops'!G5</f>
        <v>1460000</v>
      </c>
      <c r="G5" s="11">
        <f>39000000/25</f>
        <v>1560000</v>
      </c>
      <c r="H5" s="11">
        <f>E5-F5-G5</f>
        <v>4120000</v>
      </c>
      <c r="I5" s="11">
        <f>MAX(0, H5 * Inputs!$C$19)</f>
        <v>1442000</v>
      </c>
      <c r="J5" s="11">
        <v>0</v>
      </c>
      <c r="K5" s="11">
        <f>0.65*Table1[[#This Row],[EBIT]]</f>
        <v>2678000</v>
      </c>
      <c r="L5" s="11">
        <f t="shared" ref="L5:L29" si="2">H5*0.65+G5</f>
        <v>4238000</v>
      </c>
      <c r="M5" s="11">
        <f t="shared" ref="M5:M29" si="3">H5+G5</f>
        <v>5680000</v>
      </c>
      <c r="N5" s="11">
        <v>-31200000</v>
      </c>
      <c r="O5" s="11">
        <v>-500000</v>
      </c>
      <c r="P5" s="11">
        <f>L5+N5+O5</f>
        <v>-27462000</v>
      </c>
      <c r="Q5" s="11">
        <f>M5+N5+O5</f>
        <v>-26020000</v>
      </c>
      <c r="R5" s="11">
        <f t="shared" si="0"/>
        <v>-23114215.975086268</v>
      </c>
      <c r="S5" s="11">
        <f t="shared" si="1"/>
        <v>-21900513.424795888</v>
      </c>
      <c r="T5" s="11">
        <v>2</v>
      </c>
      <c r="U5" s="4">
        <v>500000</v>
      </c>
    </row>
    <row r="6" spans="3:26" x14ac:dyDescent="0.2">
      <c r="C6" s="11">
        <v>2004</v>
      </c>
      <c r="D6" s="11">
        <v>2</v>
      </c>
      <c r="E6" s="11">
        <f>'Rates &amp; Ops'!D6*'Rates &amp; Ops'!E6</f>
        <v>7231600</v>
      </c>
      <c r="F6" s="12">
        <f>'Rates &amp; Ops'!G6</f>
        <v>1522999.2</v>
      </c>
      <c r="G6" s="11">
        <f t="shared" ref="G6:G8" si="4">39000000/25</f>
        <v>1560000</v>
      </c>
      <c r="H6" s="11">
        <f t="shared" ref="H6:H29" si="5">E6-F6-G6</f>
        <v>4148600.8</v>
      </c>
      <c r="I6" s="11">
        <f>MAX(0, H6 * Inputs!$C$19)</f>
        <v>1452010.2799999998</v>
      </c>
      <c r="J6" s="11">
        <v>0</v>
      </c>
      <c r="K6" s="11">
        <f>0.65*Table1[[#This Row],[EBIT]]</f>
        <v>2696590.52</v>
      </c>
      <c r="L6" s="11">
        <f t="shared" si="2"/>
        <v>4256590.5199999996</v>
      </c>
      <c r="M6" s="11">
        <f t="shared" si="3"/>
        <v>5708600.7999999998</v>
      </c>
      <c r="N6" s="11"/>
      <c r="O6" s="11">
        <f>-(U6-U5)</f>
        <v>-15000</v>
      </c>
      <c r="P6" s="11">
        <f t="shared" ref="P6:P29" si="6">L6+N6+O6</f>
        <v>4241590.5199999996</v>
      </c>
      <c r="Q6" s="11">
        <f t="shared" ref="Q6:Q29" si="7">M6+N6+O6</f>
        <v>5693600.7999999998</v>
      </c>
      <c r="R6" s="11">
        <f t="shared" si="0"/>
        <v>3275286.1287276181</v>
      </c>
      <c r="S6" s="11">
        <f t="shared" si="1"/>
        <v>4396504.4798224587</v>
      </c>
      <c r="T6" s="11">
        <v>3</v>
      </c>
      <c r="U6" s="4">
        <f>U5*1.03</f>
        <v>515000</v>
      </c>
    </row>
    <row r="7" spans="3:26" x14ac:dyDescent="0.2">
      <c r="C7" s="11">
        <v>2005</v>
      </c>
      <c r="D7" s="11">
        <v>3</v>
      </c>
      <c r="E7" s="11">
        <f>'Rates &amp; Ops'!D7*'Rates &amp; Ops'!E7</f>
        <v>7282800</v>
      </c>
      <c r="F7" s="12">
        <f>'Rates &amp; Ops'!G7</f>
        <v>1580047.1713999999</v>
      </c>
      <c r="G7" s="11">
        <f t="shared" si="4"/>
        <v>1560000</v>
      </c>
      <c r="H7" s="11">
        <f t="shared" si="5"/>
        <v>4142752.8286000006</v>
      </c>
      <c r="I7" s="11">
        <f>MAX(0, H7 * Inputs!$C$19)</f>
        <v>1449963.4900100001</v>
      </c>
      <c r="J7" s="11">
        <v>0</v>
      </c>
      <c r="K7" s="11">
        <f>0.65*Table1[[#This Row],[EBIT]]</f>
        <v>2692789.3385900003</v>
      </c>
      <c r="L7" s="11">
        <f t="shared" si="2"/>
        <v>4252789.3385899998</v>
      </c>
      <c r="M7" s="11">
        <f t="shared" si="3"/>
        <v>5702752.8286000006</v>
      </c>
      <c r="N7" s="11"/>
      <c r="O7" s="11">
        <f t="shared" ref="O7:O28" si="8">-(U7-U6)</f>
        <v>-15450</v>
      </c>
      <c r="P7" s="11">
        <f t="shared" si="6"/>
        <v>4237339.3385899998</v>
      </c>
      <c r="Q7" s="11">
        <f t="shared" si="7"/>
        <v>5687302.8286000006</v>
      </c>
      <c r="R7" s="11">
        <f t="shared" si="0"/>
        <v>3001838.0152954804</v>
      </c>
      <c r="S7" s="11">
        <f t="shared" si="1"/>
        <v>4029028.7067426443</v>
      </c>
      <c r="T7" s="11">
        <v>4</v>
      </c>
      <c r="U7" s="4">
        <f t="shared" ref="U7:U31" si="9">U6*1.03</f>
        <v>530450</v>
      </c>
    </row>
    <row r="8" spans="3:26" x14ac:dyDescent="0.2">
      <c r="C8" s="11">
        <v>2006</v>
      </c>
      <c r="D8" s="11">
        <v>4</v>
      </c>
      <c r="E8" s="11">
        <f>'Rates &amp; Ops'!D8*'Rates &amp; Ops'!E8</f>
        <v>6680898</v>
      </c>
      <c r="F8" s="12">
        <f>'Rates &amp; Ops'!G8</f>
        <v>1643723.0724074198</v>
      </c>
      <c r="G8" s="11">
        <f t="shared" si="4"/>
        <v>1560000</v>
      </c>
      <c r="H8" s="11">
        <f t="shared" si="5"/>
        <v>3477174.9275925802</v>
      </c>
      <c r="I8" s="11">
        <f>MAX(0, H8 * Inputs!$C$19)</f>
        <v>1217011.2246574031</v>
      </c>
      <c r="J8" s="11">
        <v>0</v>
      </c>
      <c r="K8" s="11">
        <f>0.65*Table1[[#This Row],[EBIT]]</f>
        <v>2260163.7029351774</v>
      </c>
      <c r="L8" s="11">
        <f t="shared" si="2"/>
        <v>3820163.7029351774</v>
      </c>
      <c r="M8" s="11">
        <f t="shared" si="3"/>
        <v>5037174.9275925802</v>
      </c>
      <c r="N8" s="11"/>
      <c r="O8" s="11">
        <f t="shared" si="8"/>
        <v>-15913.5</v>
      </c>
      <c r="P8" s="11">
        <f t="shared" si="6"/>
        <v>3804250.2029351774</v>
      </c>
      <c r="Q8" s="11">
        <f t="shared" si="7"/>
        <v>5021261.4275925802</v>
      </c>
      <c r="R8" s="11">
        <f t="shared" si="0"/>
        <v>2472501.608219421</v>
      </c>
      <c r="S8" s="11">
        <f t="shared" si="1"/>
        <v>3263475.4006016538</v>
      </c>
      <c r="T8" s="11">
        <v>5</v>
      </c>
      <c r="U8" s="4">
        <f t="shared" si="9"/>
        <v>546363.5</v>
      </c>
    </row>
    <row r="9" spans="3:26" x14ac:dyDescent="0.2">
      <c r="C9" s="11">
        <v>2007</v>
      </c>
      <c r="D9" s="11">
        <v>5</v>
      </c>
      <c r="E9" s="11">
        <f>'Rates &amp; Ops'!D9*'Rates &amp; Ops'!E9</f>
        <v>6170031</v>
      </c>
      <c r="F9" s="12">
        <f>'Rates &amp; Ops'!G9</f>
        <v>1709965.1122254387</v>
      </c>
      <c r="G9" s="11">
        <f>39000000/25</f>
        <v>1560000</v>
      </c>
      <c r="H9" s="11">
        <f t="shared" si="5"/>
        <v>2900065.8877745615</v>
      </c>
      <c r="I9" s="11">
        <f>MAX(0, H9 * Inputs!$C$19)</f>
        <v>1015023.0607210965</v>
      </c>
      <c r="J9" s="11">
        <v>0</v>
      </c>
      <c r="K9" s="11">
        <f>0.65*Table1[[#This Row],[EBIT]]</f>
        <v>1885042.8270534649</v>
      </c>
      <c r="L9" s="11">
        <f t="shared" si="2"/>
        <v>3445042.8270534649</v>
      </c>
      <c r="M9" s="11">
        <f t="shared" si="3"/>
        <v>4460065.8877745615</v>
      </c>
      <c r="N9" s="11">
        <v>-300000</v>
      </c>
      <c r="O9" s="11">
        <f t="shared" si="8"/>
        <v>-16390.905000000028</v>
      </c>
      <c r="P9" s="11">
        <f t="shared" si="6"/>
        <v>3128651.9220534647</v>
      </c>
      <c r="Q9" s="11">
        <f t="shared" si="7"/>
        <v>4143674.9827745613</v>
      </c>
      <c r="R9" s="11">
        <f t="shared" si="0"/>
        <v>1865512.9182983402</v>
      </c>
      <c r="S9" s="11">
        <f t="shared" si="1"/>
        <v>2470738.0054352684</v>
      </c>
      <c r="T9" s="11">
        <v>6</v>
      </c>
      <c r="U9" s="4">
        <f t="shared" si="9"/>
        <v>562754.40500000003</v>
      </c>
    </row>
    <row r="10" spans="3:26" x14ac:dyDescent="0.2">
      <c r="C10" s="11">
        <v>2008</v>
      </c>
      <c r="D10" s="11">
        <v>6</v>
      </c>
      <c r="E10" s="11">
        <f>'Rates &amp; Ops'!D10*'Rates &amp; Ops'!E10</f>
        <v>6188274</v>
      </c>
      <c r="F10" s="12">
        <f>'Rates &amp; Ops'!G10</f>
        <v>1783750.3410597625</v>
      </c>
      <c r="G10" s="11">
        <f>39000000/25+300000/5</f>
        <v>1620000</v>
      </c>
      <c r="H10" s="11">
        <f t="shared" si="5"/>
        <v>2784523.658940237</v>
      </c>
      <c r="I10" s="11">
        <f>MAX(0, H10 * Inputs!$C$19)</f>
        <v>974583.28062908293</v>
      </c>
      <c r="J10" s="11">
        <v>0</v>
      </c>
      <c r="K10" s="11">
        <f>0.65*Table1[[#This Row],[EBIT]]</f>
        <v>1809940.3783111542</v>
      </c>
      <c r="L10" s="11">
        <f t="shared" si="2"/>
        <v>3429940.3783111544</v>
      </c>
      <c r="M10" s="11">
        <f t="shared" si="3"/>
        <v>4404523.658940237</v>
      </c>
      <c r="N10" s="11">
        <v>0</v>
      </c>
      <c r="O10" s="11">
        <f t="shared" si="8"/>
        <v>-16882.632149999961</v>
      </c>
      <c r="P10" s="11">
        <f t="shared" si="6"/>
        <v>3413057.7461611545</v>
      </c>
      <c r="Q10" s="11">
        <f t="shared" si="7"/>
        <v>4387641.0267902371</v>
      </c>
      <c r="R10" s="11">
        <f t="shared" si="0"/>
        <v>1867059.4667779016</v>
      </c>
      <c r="S10" s="11">
        <f t="shared" si="1"/>
        <v>2400189.8957337546</v>
      </c>
      <c r="T10" s="11">
        <v>7</v>
      </c>
      <c r="U10" s="4">
        <f t="shared" si="9"/>
        <v>579637.03714999999</v>
      </c>
    </row>
    <row r="11" spans="3:26" x14ac:dyDescent="0.2">
      <c r="C11" s="11">
        <v>2009</v>
      </c>
      <c r="D11" s="11">
        <v>7</v>
      </c>
      <c r="E11" s="11">
        <f>'Rates &amp; Ops'!D11*'Rates &amp; Ops'!E11</f>
        <v>6241746</v>
      </c>
      <c r="F11" s="12">
        <f>'Rates &amp; Ops'!G11</f>
        <v>1850565.4375099232</v>
      </c>
      <c r="G11" s="11">
        <f>39000000/25+300000/5</f>
        <v>1620000</v>
      </c>
      <c r="H11" s="11">
        <f t="shared" si="5"/>
        <v>2771180.5624900768</v>
      </c>
      <c r="I11" s="11">
        <f>MAX(0, H11 * Inputs!$C$19)</f>
        <v>969913.19687152677</v>
      </c>
      <c r="J11" s="11">
        <v>0</v>
      </c>
      <c r="K11" s="11">
        <f>0.65*Table1[[#This Row],[EBIT]]</f>
        <v>1801267.36561855</v>
      </c>
      <c r="L11" s="11">
        <f t="shared" si="2"/>
        <v>3421267.3656185502</v>
      </c>
      <c r="M11" s="11">
        <f t="shared" si="3"/>
        <v>4391180.5624900768</v>
      </c>
      <c r="N11" s="11">
        <v>0</v>
      </c>
      <c r="O11" s="11">
        <f t="shared" si="8"/>
        <v>-17389.111114499974</v>
      </c>
      <c r="P11" s="11">
        <f t="shared" si="6"/>
        <v>3403878.2545040501</v>
      </c>
      <c r="Q11" s="11">
        <f t="shared" si="7"/>
        <v>4373791.4513755767</v>
      </c>
      <c r="R11" s="11">
        <f t="shared" si="0"/>
        <v>1708291.7160469834</v>
      </c>
      <c r="S11" s="11">
        <f t="shared" si="1"/>
        <v>2195058.4437664174</v>
      </c>
      <c r="T11" s="11">
        <v>8</v>
      </c>
      <c r="U11" s="4">
        <f t="shared" si="9"/>
        <v>597026.14826449996</v>
      </c>
    </row>
    <row r="12" spans="3:26" x14ac:dyDescent="0.2">
      <c r="C12" s="11">
        <v>2010</v>
      </c>
      <c r="D12" s="11">
        <v>8</v>
      </c>
      <c r="E12" s="11">
        <f>'Rates &amp; Ops'!D12*'Rates &amp; Ops'!E12</f>
        <v>6313758</v>
      </c>
      <c r="F12" s="12">
        <f>'Rates &amp; Ops'!G12</f>
        <v>1925143.2246415734</v>
      </c>
      <c r="G12" s="11">
        <f>39000000/25+300000/5</f>
        <v>1620000</v>
      </c>
      <c r="H12" s="11">
        <f t="shared" si="5"/>
        <v>2768614.7753584264</v>
      </c>
      <c r="I12" s="11">
        <f>MAX(0, H12 * Inputs!$C$19)</f>
        <v>969015.17137544916</v>
      </c>
      <c r="J12" s="11">
        <v>0</v>
      </c>
      <c r="K12" s="11">
        <f>0.65*Table1[[#This Row],[EBIT]]</f>
        <v>1799599.6039829771</v>
      </c>
      <c r="L12" s="11">
        <f t="shared" si="2"/>
        <v>3419599.6039829771</v>
      </c>
      <c r="M12" s="11">
        <f t="shared" si="3"/>
        <v>4388614.7753584264</v>
      </c>
      <c r="N12" s="11">
        <v>0</v>
      </c>
      <c r="O12" s="11">
        <f t="shared" si="8"/>
        <v>-17910.784447935061</v>
      </c>
      <c r="P12" s="11">
        <f t="shared" si="6"/>
        <v>3401688.8195350422</v>
      </c>
      <c r="Q12" s="11">
        <f t="shared" si="7"/>
        <v>4370703.990910491</v>
      </c>
      <c r="R12" s="11">
        <f t="shared" si="0"/>
        <v>1566232.0297839465</v>
      </c>
      <c r="S12" s="11">
        <f t="shared" si="1"/>
        <v>2012393.5334579523</v>
      </c>
      <c r="T12" s="11">
        <v>9</v>
      </c>
      <c r="U12" s="4">
        <f t="shared" si="9"/>
        <v>614936.93271243502</v>
      </c>
    </row>
    <row r="13" spans="3:26" x14ac:dyDescent="0.2">
      <c r="C13" s="11">
        <v>2011</v>
      </c>
      <c r="D13" s="11">
        <v>9</v>
      </c>
      <c r="E13" s="11">
        <f>'Rates &amp; Ops'!D13*'Rates &amp; Ops'!E13</f>
        <v>6386476</v>
      </c>
      <c r="F13" s="12">
        <f>'Rates &amp; Ops'!G13</f>
        <v>2002726.496594629</v>
      </c>
      <c r="G13" s="11">
        <f>39000000/25+300000/5</f>
        <v>1620000</v>
      </c>
      <c r="H13" s="11">
        <f t="shared" si="5"/>
        <v>2763749.5034053707</v>
      </c>
      <c r="I13" s="11">
        <f>MAX(0, H13 * Inputs!$C$19)</f>
        <v>967312.32619187969</v>
      </c>
      <c r="J13" s="11">
        <v>0</v>
      </c>
      <c r="K13" s="11">
        <f>0.65*Table1[[#This Row],[EBIT]]</f>
        <v>1796437.1772134909</v>
      </c>
      <c r="L13" s="11">
        <f t="shared" si="2"/>
        <v>3416437.1772134909</v>
      </c>
      <c r="M13" s="11">
        <f t="shared" si="3"/>
        <v>4383749.5034053707</v>
      </c>
      <c r="N13" s="11">
        <v>0</v>
      </c>
      <c r="O13" s="11">
        <f t="shared" si="8"/>
        <v>-18448.10798137309</v>
      </c>
      <c r="P13" s="11">
        <f t="shared" si="6"/>
        <v>3397989.0692321179</v>
      </c>
      <c r="Q13" s="11">
        <f t="shared" si="7"/>
        <v>4365301.3954239972</v>
      </c>
      <c r="R13" s="11">
        <f t="shared" si="0"/>
        <v>1435347.3045570699</v>
      </c>
      <c r="S13" s="11">
        <f t="shared" si="1"/>
        <v>1843950.4847839274</v>
      </c>
      <c r="T13" s="11">
        <v>10</v>
      </c>
      <c r="U13" s="4">
        <f t="shared" si="9"/>
        <v>633385.04069380811</v>
      </c>
    </row>
    <row r="14" spans="3:26" x14ac:dyDescent="0.2">
      <c r="C14" s="11">
        <v>2012</v>
      </c>
      <c r="D14" s="11">
        <v>10</v>
      </c>
      <c r="E14" s="11">
        <f>'Rates &amp; Ops'!D14*'Rates &amp; Ops'!E14</f>
        <v>6169512</v>
      </c>
      <c r="F14" s="12">
        <f>'Rates &amp; Ops'!G14</f>
        <v>2089144.4192687829</v>
      </c>
      <c r="G14" s="11">
        <f>39000000/25+300000/5</f>
        <v>1620000</v>
      </c>
      <c r="H14" s="11">
        <f t="shared" si="5"/>
        <v>2460367.5807312168</v>
      </c>
      <c r="I14" s="11">
        <f>MAX(0, H14 * Inputs!$C$19)</f>
        <v>861128.65325592586</v>
      </c>
      <c r="J14" s="11">
        <v>0</v>
      </c>
      <c r="K14" s="11">
        <f>0.65*Table1[[#This Row],[EBIT]]</f>
        <v>1599238.9274752911</v>
      </c>
      <c r="L14" s="11">
        <f t="shared" si="2"/>
        <v>3219238.9274752913</v>
      </c>
      <c r="M14" s="11">
        <f t="shared" si="3"/>
        <v>4080367.5807312168</v>
      </c>
      <c r="N14" s="11">
        <v>-350000</v>
      </c>
      <c r="O14" s="11">
        <f t="shared" si="8"/>
        <v>-19001.551220814232</v>
      </c>
      <c r="P14" s="11">
        <f t="shared" si="6"/>
        <v>2850237.3762544771</v>
      </c>
      <c r="Q14" s="11">
        <f t="shared" si="7"/>
        <v>3711366.0295104026</v>
      </c>
      <c r="R14" s="11">
        <f t="shared" si="0"/>
        <v>1104560.6146311054</v>
      </c>
      <c r="S14" s="11">
        <f t="shared" si="1"/>
        <v>1438276.2561566408</v>
      </c>
      <c r="T14" s="11">
        <v>11</v>
      </c>
      <c r="U14" s="4">
        <f t="shared" si="9"/>
        <v>652386.59191462235</v>
      </c>
    </row>
    <row r="15" spans="3:26" x14ac:dyDescent="0.2">
      <c r="C15" s="11">
        <v>2013</v>
      </c>
      <c r="D15" s="11">
        <v>11</v>
      </c>
      <c r="E15" s="11">
        <f>'Rates &amp; Ops'!D15*'Rates &amp; Ops'!E15</f>
        <v>6152172</v>
      </c>
      <c r="F15" s="12">
        <f>'Rates &amp; Ops'!G15</f>
        <v>2167398.860296011</v>
      </c>
      <c r="G15" s="11">
        <f>39000000/25+350000/5</f>
        <v>1630000</v>
      </c>
      <c r="H15" s="11">
        <f t="shared" si="5"/>
        <v>2354773.139703989</v>
      </c>
      <c r="I15" s="11">
        <f>MAX(0, H15 * Inputs!$C$19)</f>
        <v>824170.59889639611</v>
      </c>
      <c r="J15" s="11">
        <v>0</v>
      </c>
      <c r="K15" s="11">
        <f>0.65*Table1[[#This Row],[EBIT]]</f>
        <v>1530602.5408075929</v>
      </c>
      <c r="L15" s="11">
        <f t="shared" si="2"/>
        <v>3160602.5408075927</v>
      </c>
      <c r="M15" s="11">
        <f t="shared" si="3"/>
        <v>3984773.139703989</v>
      </c>
      <c r="N15" s="11">
        <v>0</v>
      </c>
      <c r="O15" s="11">
        <f t="shared" si="8"/>
        <v>-19571.597757438663</v>
      </c>
      <c r="P15" s="11">
        <f t="shared" si="6"/>
        <v>3141030.943050154</v>
      </c>
      <c r="Q15" s="11">
        <f t="shared" si="7"/>
        <v>3965201.5419465504</v>
      </c>
      <c r="R15" s="11">
        <f t="shared" si="0"/>
        <v>1116745.572879507</v>
      </c>
      <c r="S15" s="11">
        <f t="shared" si="1"/>
        <v>1409766.8401966773</v>
      </c>
      <c r="T15" s="11">
        <v>12</v>
      </c>
      <c r="U15" s="4">
        <f t="shared" si="9"/>
        <v>671958.18967206101</v>
      </c>
    </row>
    <row r="16" spans="3:26" x14ac:dyDescent="0.2">
      <c r="C16" s="11">
        <v>2014</v>
      </c>
      <c r="D16" s="11">
        <v>12</v>
      </c>
      <c r="E16" s="11">
        <f>'Rates &amp; Ops'!D16*'Rates &amp; Ops'!E16</f>
        <v>6223019</v>
      </c>
      <c r="F16" s="12">
        <f>'Rates &amp; Ops'!G16</f>
        <v>2254745.0343659404</v>
      </c>
      <c r="G16" s="11">
        <f>39000000/25+350000/5</f>
        <v>1630000</v>
      </c>
      <c r="H16" s="11">
        <f t="shared" si="5"/>
        <v>2338273.9656340596</v>
      </c>
      <c r="I16" s="11">
        <f>MAX(0, H16 * Inputs!$C$19)</f>
        <v>818395.88797192078</v>
      </c>
      <c r="J16" s="11">
        <v>0</v>
      </c>
      <c r="K16" s="11">
        <f>0.65*Table1[[#This Row],[EBIT]]</f>
        <v>1519878.0776621387</v>
      </c>
      <c r="L16" s="11">
        <f t="shared" si="2"/>
        <v>3149878.0776621387</v>
      </c>
      <c r="M16" s="11">
        <f t="shared" si="3"/>
        <v>3968273.9656340596</v>
      </c>
      <c r="N16" s="11">
        <v>0</v>
      </c>
      <c r="O16" s="11">
        <f t="shared" si="8"/>
        <v>-20158.745690161828</v>
      </c>
      <c r="P16" s="11">
        <f t="shared" si="6"/>
        <v>3129719.3319719769</v>
      </c>
      <c r="Q16" s="11">
        <f t="shared" si="7"/>
        <v>3948115.2199438978</v>
      </c>
      <c r="R16" s="11">
        <f t="shared" si="0"/>
        <v>1020847.6168296764</v>
      </c>
      <c r="S16" s="11">
        <f t="shared" si="1"/>
        <v>1287790.8801838816</v>
      </c>
      <c r="T16" s="11">
        <v>13</v>
      </c>
      <c r="U16" s="4">
        <f t="shared" si="9"/>
        <v>692116.93536222284</v>
      </c>
    </row>
    <row r="17" spans="3:21" x14ac:dyDescent="0.2">
      <c r="C17" s="11">
        <v>2015</v>
      </c>
      <c r="D17" s="11">
        <v>13</v>
      </c>
      <c r="E17" s="11">
        <f>'Rates &amp; Ops'!D17*'Rates &amp; Ops'!E17</f>
        <v>6294564</v>
      </c>
      <c r="F17" s="12">
        <f>'Rates &amp; Ops'!G17</f>
        <v>2345611.2592508881</v>
      </c>
      <c r="G17" s="11">
        <f>39000000/25+350000/5</f>
        <v>1630000</v>
      </c>
      <c r="H17" s="11">
        <f t="shared" si="5"/>
        <v>2318952.7407491119</v>
      </c>
      <c r="I17" s="11">
        <f>MAX(0, H17 * Inputs!$C$19)</f>
        <v>811633.45926218911</v>
      </c>
      <c r="J17" s="11">
        <v>0</v>
      </c>
      <c r="K17" s="11">
        <f>0.65*Table1[[#This Row],[EBIT]]</f>
        <v>1507319.2814869229</v>
      </c>
      <c r="L17" s="11">
        <f t="shared" si="2"/>
        <v>3137319.2814869229</v>
      </c>
      <c r="M17" s="11">
        <f t="shared" si="3"/>
        <v>3948952.7407491119</v>
      </c>
      <c r="N17" s="11">
        <v>0</v>
      </c>
      <c r="O17" s="11">
        <f t="shared" si="8"/>
        <v>-20763.508060866734</v>
      </c>
      <c r="P17" s="11">
        <f t="shared" si="6"/>
        <v>3116555.7734260559</v>
      </c>
      <c r="Q17" s="11">
        <f t="shared" si="7"/>
        <v>3928189.2326882454</v>
      </c>
      <c r="R17" s="11">
        <f t="shared" si="0"/>
        <v>932618.29827063123</v>
      </c>
      <c r="S17" s="11">
        <f t="shared" si="1"/>
        <v>1175496.7418559657</v>
      </c>
      <c r="T17" s="11">
        <v>14</v>
      </c>
      <c r="U17" s="4">
        <f t="shared" si="9"/>
        <v>712880.44342308957</v>
      </c>
    </row>
    <row r="18" spans="3:21" x14ac:dyDescent="0.2">
      <c r="C18" s="11">
        <v>2016</v>
      </c>
      <c r="D18" s="11">
        <v>14</v>
      </c>
      <c r="E18" s="11">
        <f>'Rates &amp; Ops'!D18*'Rates &amp; Ops'!E18</f>
        <v>6385050</v>
      </c>
      <c r="F18" s="12">
        <f>'Rates &amp; Ops'!G18</f>
        <v>2446824.7064041747</v>
      </c>
      <c r="G18" s="11">
        <f>39000000/25+350000/5</f>
        <v>1630000</v>
      </c>
      <c r="H18" s="11">
        <f t="shared" si="5"/>
        <v>2308225.2935958253</v>
      </c>
      <c r="I18" s="11">
        <f>MAX(0, H18 * Inputs!$C$19)</f>
        <v>807878.85275853879</v>
      </c>
      <c r="J18" s="11">
        <v>0</v>
      </c>
      <c r="K18" s="11">
        <f>0.65*Table1[[#This Row],[EBIT]]</f>
        <v>1500346.4408372864</v>
      </c>
      <c r="L18" s="11">
        <f t="shared" si="2"/>
        <v>3130346.4408372864</v>
      </c>
      <c r="M18" s="11">
        <f t="shared" si="3"/>
        <v>3938225.2935958253</v>
      </c>
      <c r="N18" s="11">
        <v>0</v>
      </c>
      <c r="O18" s="11">
        <f t="shared" si="8"/>
        <v>-21386.413302692701</v>
      </c>
      <c r="P18" s="11">
        <f t="shared" si="6"/>
        <v>3108960.0275345938</v>
      </c>
      <c r="Q18" s="11">
        <f t="shared" si="7"/>
        <v>3916838.8802931327</v>
      </c>
      <c r="R18" s="11">
        <f t="shared" si="0"/>
        <v>853527.79648012412</v>
      </c>
      <c r="S18" s="11">
        <f t="shared" si="1"/>
        <v>1075321.274334742</v>
      </c>
      <c r="T18" s="11">
        <v>15</v>
      </c>
      <c r="U18" s="4">
        <f t="shared" si="9"/>
        <v>734266.85672578227</v>
      </c>
    </row>
    <row r="19" spans="3:21" x14ac:dyDescent="0.2">
      <c r="C19" s="11">
        <v>2017</v>
      </c>
      <c r="D19" s="11">
        <v>15</v>
      </c>
      <c r="E19" s="11">
        <f>'Rates &amp; Ops'!D19*'Rates &amp; Ops'!E19</f>
        <v>5151938</v>
      </c>
      <c r="F19" s="12">
        <f>'Rates &amp; Ops'!G19</f>
        <v>2538477.0105365464</v>
      </c>
      <c r="G19" s="11">
        <f>39000000/25+350000/5</f>
        <v>1630000</v>
      </c>
      <c r="H19" s="11">
        <f t="shared" si="5"/>
        <v>983460.98946345365</v>
      </c>
      <c r="I19" s="11">
        <f>MAX(0, H19 * Inputs!$C$19)</f>
        <v>344211.34631220874</v>
      </c>
      <c r="J19" s="11">
        <v>0</v>
      </c>
      <c r="K19" s="11">
        <f>0.65*Table1[[#This Row],[EBIT]]</f>
        <v>639249.64315124485</v>
      </c>
      <c r="L19" s="11">
        <f t="shared" si="2"/>
        <v>2269249.6431512451</v>
      </c>
      <c r="M19" s="11">
        <f t="shared" si="3"/>
        <v>2613460.9894634536</v>
      </c>
      <c r="N19" s="11">
        <v>-750000</v>
      </c>
      <c r="O19" s="11">
        <f t="shared" si="8"/>
        <v>-22028.005701773451</v>
      </c>
      <c r="P19" s="11">
        <f t="shared" si="6"/>
        <v>1497221.6374494717</v>
      </c>
      <c r="Q19" s="11">
        <f t="shared" si="7"/>
        <v>1841432.9837616803</v>
      </c>
      <c r="R19" s="11">
        <f t="shared" si="0"/>
        <v>377104.85849265766</v>
      </c>
      <c r="S19" s="11">
        <f t="shared" si="1"/>
        <v>463801.28859752463</v>
      </c>
      <c r="T19" s="11">
        <v>16</v>
      </c>
      <c r="U19" s="4">
        <f t="shared" si="9"/>
        <v>756294.86242755572</v>
      </c>
    </row>
    <row r="20" spans="3:21" x14ac:dyDescent="0.2">
      <c r="C20" s="11">
        <v>2018</v>
      </c>
      <c r="D20" s="11">
        <v>16</v>
      </c>
      <c r="E20" s="11">
        <f>'Rates &amp; Ops'!D20*'Rates &amp; Ops'!E20</f>
        <v>5211268</v>
      </c>
      <c r="F20" s="12">
        <f>'Rates &amp; Ops'!G20</f>
        <v>2640777.6340611689</v>
      </c>
      <c r="G20" s="11">
        <f>39000000/25+750000/5</f>
        <v>1710000</v>
      </c>
      <c r="H20" s="11">
        <f t="shared" si="5"/>
        <v>860490.36593883112</v>
      </c>
      <c r="I20" s="11">
        <f>MAX(0, H20 * Inputs!$C$19)</f>
        <v>301171.62807859085</v>
      </c>
      <c r="J20" s="11">
        <v>0</v>
      </c>
      <c r="K20" s="11">
        <f>0.65*Table1[[#This Row],[EBIT]]</f>
        <v>559318.73786024028</v>
      </c>
      <c r="L20" s="11">
        <f t="shared" si="2"/>
        <v>2269318.73786024</v>
      </c>
      <c r="M20" s="11">
        <f t="shared" si="3"/>
        <v>2570490.3659388311</v>
      </c>
      <c r="N20" s="11">
        <v>0</v>
      </c>
      <c r="O20" s="11">
        <f t="shared" si="8"/>
        <v>-22688.845872826641</v>
      </c>
      <c r="P20" s="11">
        <f t="shared" si="6"/>
        <v>2246629.8919874132</v>
      </c>
      <c r="Q20" s="11">
        <f t="shared" si="7"/>
        <v>2547801.5200660042</v>
      </c>
      <c r="R20" s="11">
        <f t="shared" si="0"/>
        <v>519135.90615413326</v>
      </c>
      <c r="S20" s="11">
        <f t="shared" si="1"/>
        <v>588728.59100539086</v>
      </c>
      <c r="T20" s="11">
        <v>17</v>
      </c>
      <c r="U20" s="4">
        <f t="shared" si="9"/>
        <v>778983.70830038236</v>
      </c>
    </row>
    <row r="21" spans="3:21" x14ac:dyDescent="0.2">
      <c r="C21" s="11">
        <v>2019</v>
      </c>
      <c r="D21" s="11">
        <v>17</v>
      </c>
      <c r="E21" s="11">
        <f>'Rates &amp; Ops'!D21*'Rates &amp; Ops'!E21</f>
        <v>5271296</v>
      </c>
      <c r="F21" s="12">
        <f>'Rates &amp; Ops'!G21</f>
        <v>2747200.9727138341</v>
      </c>
      <c r="G21" s="11">
        <f>39000000/25+750000/5</f>
        <v>1710000</v>
      </c>
      <c r="H21" s="11">
        <f t="shared" si="5"/>
        <v>814095.02728616586</v>
      </c>
      <c r="I21" s="11">
        <f>MAX(0, H21 * Inputs!$C$19)</f>
        <v>284933.25955015805</v>
      </c>
      <c r="J21" s="11">
        <v>0</v>
      </c>
      <c r="K21" s="11">
        <f>0.65*Table1[[#This Row],[EBIT]]</f>
        <v>529161.76773600781</v>
      </c>
      <c r="L21" s="11">
        <f t="shared" si="2"/>
        <v>2239161.7677360079</v>
      </c>
      <c r="M21" s="11">
        <f t="shared" si="3"/>
        <v>2524095.0272861659</v>
      </c>
      <c r="N21" s="11">
        <v>0</v>
      </c>
      <c r="O21" s="11">
        <f t="shared" si="8"/>
        <v>-23369.511249011499</v>
      </c>
      <c r="P21" s="11">
        <f t="shared" si="6"/>
        <v>2215792.2564869965</v>
      </c>
      <c r="Q21" s="11">
        <f t="shared" si="7"/>
        <v>2500725.5160371545</v>
      </c>
      <c r="R21" s="11">
        <f t="shared" si="0"/>
        <v>469734.08784877666</v>
      </c>
      <c r="S21" s="11">
        <f t="shared" si="1"/>
        <v>530138.15523403406</v>
      </c>
      <c r="T21" s="11">
        <v>18</v>
      </c>
      <c r="U21" s="4">
        <f t="shared" si="9"/>
        <v>802353.21954939386</v>
      </c>
    </row>
    <row r="22" spans="3:21" x14ac:dyDescent="0.2">
      <c r="C22" s="11">
        <v>2020</v>
      </c>
      <c r="D22" s="11">
        <v>18</v>
      </c>
      <c r="E22" s="11">
        <f>'Rates &amp; Ops'!D22*'Rates &amp; Ops'!E22</f>
        <v>5347300</v>
      </c>
      <c r="F22" s="12">
        <f>'Rates &amp; Ops'!G22</f>
        <v>2865743.0710153366</v>
      </c>
      <c r="G22" s="11">
        <f>39000000/25+750000/5</f>
        <v>1710000</v>
      </c>
      <c r="H22" s="11">
        <f t="shared" si="5"/>
        <v>771556.92898466345</v>
      </c>
      <c r="I22" s="11">
        <f>MAX(0, H22 * Inputs!$C$19)</f>
        <v>270044.92514463217</v>
      </c>
      <c r="J22" s="11">
        <v>0</v>
      </c>
      <c r="K22" s="11">
        <f>0.65*Table1[[#This Row],[EBIT]]</f>
        <v>501512.00384003128</v>
      </c>
      <c r="L22" s="11">
        <f t="shared" si="2"/>
        <v>2211512.0038400311</v>
      </c>
      <c r="M22" s="11">
        <f t="shared" si="3"/>
        <v>2481556.9289846634</v>
      </c>
      <c r="N22" s="11">
        <v>0</v>
      </c>
      <c r="O22" s="11">
        <f t="shared" si="8"/>
        <v>-24070.596586481784</v>
      </c>
      <c r="P22" s="11">
        <f t="shared" si="6"/>
        <v>2187441.4072535494</v>
      </c>
      <c r="Q22" s="11">
        <f t="shared" si="7"/>
        <v>2457486.3323981818</v>
      </c>
      <c r="R22" s="11">
        <f t="shared" si="0"/>
        <v>425434.7571406794</v>
      </c>
      <c r="S22" s="11">
        <f t="shared" si="1"/>
        <v>477955.70548014867</v>
      </c>
      <c r="T22" s="11">
        <v>19</v>
      </c>
      <c r="U22" s="4">
        <f t="shared" si="9"/>
        <v>826423.81613587565</v>
      </c>
    </row>
    <row r="23" spans="3:21" x14ac:dyDescent="0.2">
      <c r="C23" s="11">
        <v>2021</v>
      </c>
      <c r="D23" s="11">
        <v>19</v>
      </c>
      <c r="E23" s="11">
        <f>'Rates &amp; Ops'!D23*'Rates &amp; Ops'!E23</f>
        <v>5393446</v>
      </c>
      <c r="F23" s="12">
        <f>'Rates &amp; Ops'!G23</f>
        <v>2973087.0727423443</v>
      </c>
      <c r="G23" s="11">
        <f>39000000/25+750000/5</f>
        <v>1710000</v>
      </c>
      <c r="H23" s="11">
        <f t="shared" si="5"/>
        <v>710358.92725765565</v>
      </c>
      <c r="I23" s="11">
        <f>MAX(0, H23 * Inputs!$C$19)</f>
        <v>248625.62454017947</v>
      </c>
      <c r="J23" s="11">
        <v>0</v>
      </c>
      <c r="K23" s="11">
        <f>0.65*Table1[[#This Row],[EBIT]]</f>
        <v>461733.30271747621</v>
      </c>
      <c r="L23" s="11">
        <f t="shared" si="2"/>
        <v>2171733.3027174762</v>
      </c>
      <c r="M23" s="11">
        <f t="shared" si="3"/>
        <v>2420358.9272576557</v>
      </c>
      <c r="N23" s="11">
        <v>0</v>
      </c>
      <c r="O23" s="11">
        <f t="shared" si="8"/>
        <v>-24792.714484076248</v>
      </c>
      <c r="P23" s="11">
        <f t="shared" si="6"/>
        <v>2146940.5882334001</v>
      </c>
      <c r="Q23" s="11">
        <f t="shared" si="7"/>
        <v>2395566.2127735792</v>
      </c>
      <c r="R23" s="11">
        <f t="shared" si="0"/>
        <v>383080.5194681494</v>
      </c>
      <c r="S23" s="11">
        <f t="shared" si="1"/>
        <v>427443.01087752538</v>
      </c>
      <c r="T23" s="11">
        <v>20</v>
      </c>
      <c r="U23" s="4">
        <f t="shared" si="9"/>
        <v>851216.5306199519</v>
      </c>
    </row>
    <row r="24" spans="3:21" x14ac:dyDescent="0.2">
      <c r="C24" s="11">
        <v>2022</v>
      </c>
      <c r="D24" s="11">
        <v>20</v>
      </c>
      <c r="E24" s="11">
        <f>'Rates &amp; Ops'!D24*'Rates &amp; Ops'!E24</f>
        <v>5114246</v>
      </c>
      <c r="F24" s="12">
        <f>'Rates &amp; Ops'!G24</f>
        <v>3092902.4817738603</v>
      </c>
      <c r="G24" s="11">
        <f>39000000/25+750000/5</f>
        <v>1710000</v>
      </c>
      <c r="H24" s="11">
        <f t="shared" si="5"/>
        <v>311343.51822613971</v>
      </c>
      <c r="I24" s="11">
        <f>MAX(0, H24 * Inputs!$C$19)</f>
        <v>108970.2313791489</v>
      </c>
      <c r="J24" s="11">
        <v>0</v>
      </c>
      <c r="K24" s="11">
        <f>0.65*Table1[[#This Row],[EBIT]]</f>
        <v>202373.28684699081</v>
      </c>
      <c r="L24" s="11">
        <f t="shared" si="2"/>
        <v>1912373.2868469907</v>
      </c>
      <c r="M24" s="11">
        <f t="shared" si="3"/>
        <v>2021343.5182261397</v>
      </c>
      <c r="N24" s="11">
        <v>-850000</v>
      </c>
      <c r="O24" s="11">
        <f t="shared" si="8"/>
        <v>-25536.495918598608</v>
      </c>
      <c r="P24" s="11">
        <f t="shared" si="6"/>
        <v>1036836.7909283921</v>
      </c>
      <c r="Q24" s="11">
        <f t="shared" si="7"/>
        <v>1145807.0223075412</v>
      </c>
      <c r="R24" s="11">
        <f t="shared" si="0"/>
        <v>169728.17538013152</v>
      </c>
      <c r="S24" s="11">
        <f t="shared" si="1"/>
        <v>187566.39129275637</v>
      </c>
      <c r="T24" s="11">
        <v>21</v>
      </c>
      <c r="U24" s="4">
        <f t="shared" si="9"/>
        <v>876753.0265385505</v>
      </c>
    </row>
    <row r="25" spans="3:21" x14ac:dyDescent="0.2">
      <c r="C25" s="11">
        <v>2023</v>
      </c>
      <c r="D25" s="11">
        <v>21</v>
      </c>
      <c r="E25" s="11">
        <f>'Rates &amp; Ops'!D25*'Rates &amp; Ops'!E25</f>
        <v>5173227</v>
      </c>
      <c r="F25" s="12">
        <f>'Rates &amp; Ops'!G25</f>
        <v>3217546.4517893475</v>
      </c>
      <c r="G25" s="11">
        <f>39000000/25+850000/5</f>
        <v>1730000</v>
      </c>
      <c r="H25" s="11">
        <f t="shared" si="5"/>
        <v>225680.54821065255</v>
      </c>
      <c r="I25" s="11">
        <f>MAX(0, H25 * Inputs!$C$19)</f>
        <v>78988.191873728385</v>
      </c>
      <c r="J25" s="11">
        <v>0</v>
      </c>
      <c r="K25" s="11">
        <f>0.65*Table1[[#This Row],[EBIT]]</f>
        <v>146692.35633692416</v>
      </c>
      <c r="L25" s="11">
        <f t="shared" si="2"/>
        <v>1876692.3563369242</v>
      </c>
      <c r="M25" s="11">
        <f t="shared" si="3"/>
        <v>1955680.5482106525</v>
      </c>
      <c r="N25" s="11">
        <v>0</v>
      </c>
      <c r="O25" s="11">
        <f t="shared" si="8"/>
        <v>-26302.590796156554</v>
      </c>
      <c r="P25" s="11">
        <f t="shared" si="6"/>
        <v>1850389.7655407677</v>
      </c>
      <c r="Q25" s="11">
        <f t="shared" si="7"/>
        <v>1929377.957414496</v>
      </c>
      <c r="R25" s="11">
        <f t="shared" si="0"/>
        <v>277894.69935985154</v>
      </c>
      <c r="S25" s="11">
        <f t="shared" si="1"/>
        <v>289757.28109398315</v>
      </c>
      <c r="T25" s="11">
        <v>22</v>
      </c>
      <c r="U25" s="4">
        <f t="shared" si="9"/>
        <v>903055.61733470706</v>
      </c>
    </row>
    <row r="26" spans="3:21" x14ac:dyDescent="0.2">
      <c r="C26" s="11">
        <v>2024</v>
      </c>
      <c r="D26" s="11">
        <v>22</v>
      </c>
      <c r="E26" s="11">
        <f>'Rates &amp; Ops'!D26*'Rates &amp; Ops'!E26</f>
        <v>5247550</v>
      </c>
      <c r="F26" s="12">
        <f>'Rates &amp; Ops'!G26</f>
        <v>3356384.0219438458</v>
      </c>
      <c r="G26" s="11">
        <f>39000000/25+850000/5</f>
        <v>1730000</v>
      </c>
      <c r="H26" s="11">
        <f t="shared" si="5"/>
        <v>161165.97805615421</v>
      </c>
      <c r="I26" s="11">
        <f>MAX(0, H26 * Inputs!$C$19)</f>
        <v>56408.092319653973</v>
      </c>
      <c r="J26" s="11">
        <v>0</v>
      </c>
      <c r="K26" s="11">
        <f>0.65*Table1[[#This Row],[EBIT]]</f>
        <v>104757.88573650025</v>
      </c>
      <c r="L26" s="11">
        <f t="shared" si="2"/>
        <v>1834757.8857365001</v>
      </c>
      <c r="M26" s="11">
        <f t="shared" si="3"/>
        <v>1891165.9780561542</v>
      </c>
      <c r="N26" s="11">
        <v>0</v>
      </c>
      <c r="O26" s="11">
        <f t="shared" si="8"/>
        <v>-27091.668520041276</v>
      </c>
      <c r="P26" s="11">
        <f t="shared" si="6"/>
        <v>1807666.2172164589</v>
      </c>
      <c r="Q26" s="11">
        <f t="shared" si="7"/>
        <v>1864074.3095361129</v>
      </c>
      <c r="R26" s="11">
        <f t="shared" si="0"/>
        <v>249062.75578946687</v>
      </c>
      <c r="S26" s="11">
        <f t="shared" si="1"/>
        <v>256834.74089830701</v>
      </c>
      <c r="T26" s="11">
        <v>23</v>
      </c>
      <c r="U26" s="4">
        <f t="shared" si="9"/>
        <v>930147.28585474833</v>
      </c>
    </row>
    <row r="27" spans="3:21" x14ac:dyDescent="0.2">
      <c r="C27" s="11">
        <v>2025</v>
      </c>
      <c r="D27" s="11">
        <v>23</v>
      </c>
      <c r="E27" s="11">
        <f>'Rates &amp; Ops'!D27*'Rates &amp; Ops'!E27</f>
        <v>5292934</v>
      </c>
      <c r="F27" s="12">
        <f>'Rates &amp; Ops'!G27</f>
        <v>3482106.2808204559</v>
      </c>
      <c r="G27" s="11">
        <f>39000000/25+850000/5</f>
        <v>1730000</v>
      </c>
      <c r="H27" s="11">
        <f t="shared" si="5"/>
        <v>80827.719179544132</v>
      </c>
      <c r="I27" s="11">
        <f>MAX(0, H27 * Inputs!$C$19)</f>
        <v>28289.701712840444</v>
      </c>
      <c r="J27" s="11">
        <v>0</v>
      </c>
      <c r="K27" s="11">
        <f>0.65*Table1[[#This Row],[EBIT]]</f>
        <v>52538.017466703684</v>
      </c>
      <c r="L27" s="11">
        <f t="shared" si="2"/>
        <v>1782538.0174667037</v>
      </c>
      <c r="M27" s="11">
        <f t="shared" si="3"/>
        <v>1810827.7191795441</v>
      </c>
      <c r="N27" s="11">
        <v>0</v>
      </c>
      <c r="O27" s="11">
        <f t="shared" si="8"/>
        <v>-27904.418575642514</v>
      </c>
      <c r="P27" s="11">
        <f t="shared" si="6"/>
        <v>1754633.5988910613</v>
      </c>
      <c r="Q27" s="11">
        <f t="shared" si="7"/>
        <v>1782923.3006039015</v>
      </c>
      <c r="R27" s="11">
        <f t="shared" si="0"/>
        <v>221794.35611377328</v>
      </c>
      <c r="S27" s="11">
        <f t="shared" si="1"/>
        <v>225370.31418274881</v>
      </c>
      <c r="T27" s="11">
        <v>24</v>
      </c>
      <c r="U27" s="4">
        <f t="shared" si="9"/>
        <v>958051.70443039085</v>
      </c>
    </row>
    <row r="28" spans="3:21" x14ac:dyDescent="0.2">
      <c r="C28" s="11">
        <v>2026</v>
      </c>
      <c r="D28" s="11">
        <v>24</v>
      </c>
      <c r="E28" s="11">
        <f>'Rates &amp; Ops'!D28*'Rates &amp; Ops'!E28</f>
        <v>5354009</v>
      </c>
      <c r="F28" s="12">
        <f>'Rates &amp; Ops'!G28</f>
        <v>3622435.1639375202</v>
      </c>
      <c r="G28" s="11">
        <f>39000000/25+850000/5</f>
        <v>1730000</v>
      </c>
      <c r="H28" s="11">
        <f t="shared" si="5"/>
        <v>1573.8360624797642</v>
      </c>
      <c r="I28" s="11">
        <f>MAX(0, H28 * Inputs!$C$19)</f>
        <v>550.84262186791739</v>
      </c>
      <c r="J28" s="11">
        <v>0</v>
      </c>
      <c r="K28" s="11">
        <f>0.65*Table1[[#This Row],[EBIT]]</f>
        <v>1022.9934406118468</v>
      </c>
      <c r="L28" s="11">
        <f t="shared" si="2"/>
        <v>1731022.9934406118</v>
      </c>
      <c r="M28" s="11">
        <f t="shared" si="3"/>
        <v>1731573.8360624798</v>
      </c>
      <c r="N28" s="11">
        <v>0</v>
      </c>
      <c r="O28" s="11">
        <f t="shared" si="8"/>
        <v>-28741.5511329117</v>
      </c>
      <c r="P28" s="11">
        <f t="shared" si="6"/>
        <v>1702281.4423076999</v>
      </c>
      <c r="Q28" s="11">
        <f t="shared" si="7"/>
        <v>1702832.2849295679</v>
      </c>
      <c r="R28" s="11">
        <f t="shared" si="0"/>
        <v>197409.89436924804</v>
      </c>
      <c r="S28" s="11">
        <f t="shared" si="1"/>
        <v>197473.7743958373</v>
      </c>
      <c r="T28" s="11">
        <v>25</v>
      </c>
      <c r="U28" s="4">
        <f t="shared" si="9"/>
        <v>986793.25556330255</v>
      </c>
    </row>
    <row r="29" spans="3:21" x14ac:dyDescent="0.2">
      <c r="C29" s="11">
        <v>2027</v>
      </c>
      <c r="D29" s="11">
        <v>25</v>
      </c>
      <c r="E29" s="11">
        <f>'Rates &amp; Ops'!D29*'Rates &amp; Ops'!E29</f>
        <v>4693352</v>
      </c>
      <c r="F29" s="12">
        <f>'Rates &amp; Ops'!G29</f>
        <v>3768419.3010442024</v>
      </c>
      <c r="G29" s="11">
        <f>39000000/25+850000/5</f>
        <v>1730000</v>
      </c>
      <c r="H29" s="11">
        <f t="shared" si="5"/>
        <v>-805067.30104420241</v>
      </c>
      <c r="I29" s="11">
        <f>MAX(0, H29 * Inputs!$C$19)</f>
        <v>0</v>
      </c>
      <c r="J29" s="11">
        <v>0</v>
      </c>
      <c r="K29" s="11">
        <f>0.65*Table1[[#This Row],[EBIT]]</f>
        <v>-523293.74567873159</v>
      </c>
      <c r="L29" s="11">
        <f t="shared" si="2"/>
        <v>1206706.2543212683</v>
      </c>
      <c r="M29" s="11">
        <f t="shared" si="3"/>
        <v>924932.69895579759</v>
      </c>
      <c r="N29" s="11">
        <v>0</v>
      </c>
      <c r="O29" s="11">
        <v>986793.26</v>
      </c>
      <c r="P29" s="11">
        <f t="shared" si="6"/>
        <v>2193499.5143212685</v>
      </c>
      <c r="Q29" s="11">
        <f t="shared" si="7"/>
        <v>1911725.9589557976</v>
      </c>
      <c r="R29" s="11">
        <f t="shared" si="0"/>
        <v>233371.91831741549</v>
      </c>
      <c r="S29" s="11">
        <f t="shared" si="1"/>
        <v>203393.32259973837</v>
      </c>
      <c r="T29" s="11">
        <v>26</v>
      </c>
      <c r="U29" s="4">
        <f t="shared" si="9"/>
        <v>1016397.0532302016</v>
      </c>
    </row>
    <row r="30" spans="3:21" x14ac:dyDescent="0.2">
      <c r="U30" s="4">
        <f>U29*1.03</f>
        <v>1046888.9648271076</v>
      </c>
    </row>
    <row r="31" spans="3:21" x14ac:dyDescent="0.2">
      <c r="U31" s="4">
        <f t="shared" si="9"/>
        <v>1078295.6337719208</v>
      </c>
    </row>
    <row r="33" spans="3:26" x14ac:dyDescent="0.2">
      <c r="J33" s="2"/>
    </row>
    <row r="36" spans="3:26" x14ac:dyDescent="0.2">
      <c r="K36">
        <v>4</v>
      </c>
    </row>
    <row r="40" spans="3:26" x14ac:dyDescent="0.2">
      <c r="C40" t="s">
        <v>21</v>
      </c>
      <c r="D40" t="s">
        <v>42</v>
      </c>
      <c r="E40" t="s">
        <v>24</v>
      </c>
      <c r="F40" t="s">
        <v>25</v>
      </c>
      <c r="G40" t="s">
        <v>26</v>
      </c>
      <c r="H40" t="s">
        <v>27</v>
      </c>
      <c r="I40" t="s">
        <v>34</v>
      </c>
      <c r="J40" t="s">
        <v>41</v>
      </c>
      <c r="K40" t="s">
        <v>68</v>
      </c>
      <c r="L40" t="s">
        <v>28</v>
      </c>
      <c r="M40" t="s">
        <v>29</v>
      </c>
      <c r="N40" t="s">
        <v>30</v>
      </c>
      <c r="O40" t="s">
        <v>43</v>
      </c>
      <c r="P40" t="s">
        <v>44</v>
      </c>
      <c r="Q40" t="s">
        <v>45</v>
      </c>
      <c r="R40" t="s">
        <v>48</v>
      </c>
      <c r="S40" t="s">
        <v>49</v>
      </c>
      <c r="T40" t="s">
        <v>50</v>
      </c>
    </row>
    <row r="41" spans="3:26" x14ac:dyDescent="0.2">
      <c r="C41" s="11">
        <v>2001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-3900000</v>
      </c>
      <c r="O41" s="11"/>
      <c r="P41" s="11">
        <v>-3900000</v>
      </c>
      <c r="Q41" s="11">
        <v>-3900000</v>
      </c>
      <c r="R41" s="11">
        <f>P41/1.09^$T41</f>
        <v>-3900000</v>
      </c>
      <c r="S41" s="11">
        <f>Q41/((1.09)^$T41)</f>
        <v>-3900000</v>
      </c>
      <c r="T41" s="11">
        <v>0</v>
      </c>
      <c r="W41" t="s">
        <v>35</v>
      </c>
      <c r="X41">
        <f>SUM(R41:R57)</f>
        <v>-5421547.9187791701</v>
      </c>
      <c r="Y41" t="s">
        <v>39</v>
      </c>
      <c r="Z41" s="2">
        <f>IRR(P41:P57)</f>
        <v>6.0353914625873584E-2</v>
      </c>
    </row>
    <row r="42" spans="3:26" x14ac:dyDescent="0.2">
      <c r="C42" s="11">
        <v>2002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>
        <v>-3900000</v>
      </c>
      <c r="O42" s="11"/>
      <c r="P42" s="11">
        <v>-3900000</v>
      </c>
      <c r="Q42" s="11">
        <v>-3900000</v>
      </c>
      <c r="R42" s="11">
        <f t="shared" ref="R42:R57" si="10">P42/1.09^$T42</f>
        <v>-3577981.6513761464</v>
      </c>
      <c r="S42" s="11">
        <f>Q42/(1.09^$T42)</f>
        <v>-3577981.6513761464</v>
      </c>
      <c r="T42" s="11">
        <v>1</v>
      </c>
      <c r="W42" t="s">
        <v>36</v>
      </c>
      <c r="X42">
        <f>SUM(S41:S57)</f>
        <v>1722036.0983749656</v>
      </c>
      <c r="Y42" t="s">
        <v>39</v>
      </c>
      <c r="Z42" s="2">
        <f>IRR(Q41:Q57)</f>
        <v>9.9967097234308522E-2</v>
      </c>
    </row>
    <row r="43" spans="3:26" x14ac:dyDescent="0.2">
      <c r="C43" s="11">
        <v>2003</v>
      </c>
      <c r="D43" s="11">
        <v>1</v>
      </c>
      <c r="E43" s="11">
        <f>'Rates &amp; Ops'!D5*'Rates &amp; Ops'!E5</f>
        <v>7140000</v>
      </c>
      <c r="F43" s="11">
        <f>'Rates &amp; Ops'!G5</f>
        <v>1460000</v>
      </c>
      <c r="G43" s="11">
        <v>1560000</v>
      </c>
      <c r="H43" s="11">
        <f>E43-F43-G43</f>
        <v>4120000</v>
      </c>
      <c r="I43" s="11">
        <f>MAX(0, H43 * Inputs!$C$19)</f>
        <v>1442000</v>
      </c>
      <c r="J43" s="11">
        <v>0</v>
      </c>
      <c r="K43" s="11">
        <f>0.65*Table2[[#This Row],[EBIT]]</f>
        <v>2678000</v>
      </c>
      <c r="L43" s="11">
        <f t="shared" ref="L43:L57" si="11">H43*0.65+G43</f>
        <v>4238000</v>
      </c>
      <c r="M43" s="11">
        <f t="shared" ref="M43:M57" si="12">H43+G43</f>
        <v>5680000</v>
      </c>
      <c r="N43" s="11">
        <v>-31200000</v>
      </c>
      <c r="O43" s="11">
        <v>-500000</v>
      </c>
      <c r="P43" s="11">
        <f>L43+N43+O43</f>
        <v>-27462000</v>
      </c>
      <c r="Q43" s="11">
        <f>M43+N43+O43</f>
        <v>-26020000</v>
      </c>
      <c r="R43" s="11">
        <f t="shared" si="10"/>
        <v>-23114215.975086268</v>
      </c>
      <c r="S43" s="11">
        <f t="shared" ref="S43:S57" si="13">Q43/1.09^$T43</f>
        <v>-21900513.424795888</v>
      </c>
      <c r="T43" s="11">
        <v>2</v>
      </c>
    </row>
    <row r="44" spans="3:26" x14ac:dyDescent="0.2">
      <c r="C44" s="11">
        <v>2004</v>
      </c>
      <c r="D44" s="11">
        <v>2</v>
      </c>
      <c r="E44" s="11">
        <f>'Rates &amp; Ops'!D6*'Rates &amp; Ops'!E6</f>
        <v>7231600</v>
      </c>
      <c r="F44" s="11">
        <f>'Rates &amp; Ops'!G6</f>
        <v>1522999.2</v>
      </c>
      <c r="G44" s="11">
        <v>1560000</v>
      </c>
      <c r="H44" s="11">
        <f t="shared" ref="H44:H57" si="14">E44-F44-G44</f>
        <v>4148600.8</v>
      </c>
      <c r="I44" s="11">
        <f>MAX(0, H44 * Inputs!$C$19)</f>
        <v>1452010.2799999998</v>
      </c>
      <c r="J44" s="11">
        <v>0</v>
      </c>
      <c r="K44" s="11">
        <f>0.65*Table2[[#This Row],[EBIT]]</f>
        <v>2696590.52</v>
      </c>
      <c r="L44" s="11">
        <f t="shared" si="11"/>
        <v>4256590.5199999996</v>
      </c>
      <c r="M44" s="11">
        <f t="shared" si="12"/>
        <v>5708600.7999999998</v>
      </c>
      <c r="N44" s="11"/>
      <c r="O44" s="11">
        <v>-15000</v>
      </c>
      <c r="P44" s="11">
        <f t="shared" ref="P44:P56" si="15">L44+N44+O44</f>
        <v>4241590.5199999996</v>
      </c>
      <c r="Q44" s="11">
        <f t="shared" ref="Q44:Q57" si="16">M44+N44+O44</f>
        <v>5693600.7999999998</v>
      </c>
      <c r="R44" s="11">
        <f t="shared" si="10"/>
        <v>3275286.1287276181</v>
      </c>
      <c r="S44" s="11">
        <f t="shared" si="13"/>
        <v>4396504.4798224587</v>
      </c>
      <c r="T44" s="11">
        <v>3</v>
      </c>
    </row>
    <row r="45" spans="3:26" x14ac:dyDescent="0.2">
      <c r="C45" s="11">
        <v>2005</v>
      </c>
      <c r="D45" s="11">
        <v>3</v>
      </c>
      <c r="E45" s="11">
        <f>'Rates &amp; Ops'!D7*'Rates &amp; Ops'!E7</f>
        <v>7282800</v>
      </c>
      <c r="F45" s="11">
        <f>'Rates &amp; Ops'!G7</f>
        <v>1580047.1713999999</v>
      </c>
      <c r="G45" s="11">
        <v>1560000</v>
      </c>
      <c r="H45" s="11">
        <f t="shared" si="14"/>
        <v>4142752.8286000006</v>
      </c>
      <c r="I45" s="11">
        <f>MAX(0, H45 * Inputs!$C$19)</f>
        <v>1449963.4900100001</v>
      </c>
      <c r="J45" s="11">
        <v>0</v>
      </c>
      <c r="K45" s="11">
        <f>0.65*Table2[[#This Row],[EBIT]]</f>
        <v>2692789.3385900003</v>
      </c>
      <c r="L45" s="11">
        <f t="shared" si="11"/>
        <v>4252789.3385899998</v>
      </c>
      <c r="M45" s="11">
        <f t="shared" si="12"/>
        <v>5702752.8286000006</v>
      </c>
      <c r="N45" s="11"/>
      <c r="O45" s="11">
        <v>-15450</v>
      </c>
      <c r="P45" s="11">
        <f t="shared" si="15"/>
        <v>4237339.3385899998</v>
      </c>
      <c r="Q45" s="11">
        <f t="shared" si="16"/>
        <v>5687302.8286000006</v>
      </c>
      <c r="R45" s="11">
        <f t="shared" si="10"/>
        <v>3001838.0152954804</v>
      </c>
      <c r="S45" s="11">
        <f t="shared" si="13"/>
        <v>4029028.7067426443</v>
      </c>
      <c r="T45" s="11">
        <v>4</v>
      </c>
    </row>
    <row r="46" spans="3:26" x14ac:dyDescent="0.2">
      <c r="C46" s="11">
        <v>2006</v>
      </c>
      <c r="D46" s="11">
        <v>4</v>
      </c>
      <c r="E46" s="11">
        <f>'Rates &amp; Ops'!D8*'Rates &amp; Ops'!E8</f>
        <v>6680898</v>
      </c>
      <c r="F46" s="11">
        <f>'Rates &amp; Ops'!G8</f>
        <v>1643723.0724074198</v>
      </c>
      <c r="G46" s="11">
        <v>1560000</v>
      </c>
      <c r="H46" s="11">
        <f t="shared" si="14"/>
        <v>3477174.9275925802</v>
      </c>
      <c r="I46" s="11">
        <f>MAX(0, H46 * Inputs!$C$19)</f>
        <v>1217011.2246574031</v>
      </c>
      <c r="J46" s="11">
        <v>0</v>
      </c>
      <c r="K46" s="11">
        <f>0.65*Table2[[#This Row],[EBIT]]</f>
        <v>2260163.7029351774</v>
      </c>
      <c r="L46" s="11">
        <f t="shared" si="11"/>
        <v>3820163.7029351774</v>
      </c>
      <c r="M46" s="11">
        <f t="shared" si="12"/>
        <v>5037174.9275925802</v>
      </c>
      <c r="N46" s="11"/>
      <c r="O46" s="11">
        <v>-15913.5</v>
      </c>
      <c r="P46" s="11">
        <f t="shared" si="15"/>
        <v>3804250.2029351774</v>
      </c>
      <c r="Q46" s="11">
        <f t="shared" si="16"/>
        <v>5021261.4275925802</v>
      </c>
      <c r="R46" s="11">
        <f t="shared" si="10"/>
        <v>2472501.608219421</v>
      </c>
      <c r="S46" s="11">
        <f t="shared" si="13"/>
        <v>3263475.4006016538</v>
      </c>
      <c r="T46" s="11">
        <v>5</v>
      </c>
    </row>
    <row r="47" spans="3:26" x14ac:dyDescent="0.2">
      <c r="C47" s="11">
        <v>2007</v>
      </c>
      <c r="D47" s="11">
        <v>5</v>
      </c>
      <c r="E47" s="11">
        <f>'Rates &amp; Ops'!D9*'Rates &amp; Ops'!E9</f>
        <v>6170031</v>
      </c>
      <c r="F47" s="11">
        <f>'Rates &amp; Ops'!G9</f>
        <v>1709965.1122254387</v>
      </c>
      <c r="G47" s="11">
        <v>1560000</v>
      </c>
      <c r="H47" s="11">
        <f t="shared" si="14"/>
        <v>2900065.8877745615</v>
      </c>
      <c r="I47" s="11">
        <f>MAX(0, H47 * Inputs!$C$19)</f>
        <v>1015023.0607210965</v>
      </c>
      <c r="J47" s="11">
        <v>0</v>
      </c>
      <c r="K47" s="11">
        <f>0.65*Table2[[#This Row],[EBIT]]</f>
        <v>1885042.8270534649</v>
      </c>
      <c r="L47" s="11">
        <f t="shared" si="11"/>
        <v>3445042.8270534649</v>
      </c>
      <c r="M47" s="11">
        <f t="shared" si="12"/>
        <v>4460065.8877745615</v>
      </c>
      <c r="N47" s="11">
        <v>-300000</v>
      </c>
      <c r="O47" s="11">
        <v>-16390.905000000028</v>
      </c>
      <c r="P47" s="11">
        <f t="shared" si="15"/>
        <v>3128651.9220534647</v>
      </c>
      <c r="Q47" s="11">
        <f t="shared" si="16"/>
        <v>4143674.9827745613</v>
      </c>
      <c r="R47" s="11">
        <f t="shared" si="10"/>
        <v>1865512.9182983402</v>
      </c>
      <c r="S47" s="11">
        <f t="shared" si="13"/>
        <v>2470738.0054352684</v>
      </c>
      <c r="T47" s="11">
        <v>6</v>
      </c>
    </row>
    <row r="48" spans="3:26" x14ac:dyDescent="0.2">
      <c r="C48" s="11">
        <v>2008</v>
      </c>
      <c r="D48" s="11">
        <v>6</v>
      </c>
      <c r="E48" s="11">
        <f>'Rates &amp; Ops'!D10*'Rates &amp; Ops'!E10</f>
        <v>6188274</v>
      </c>
      <c r="F48" s="11">
        <f>'Rates &amp; Ops'!G10</f>
        <v>1783750.3410597625</v>
      </c>
      <c r="G48" s="11">
        <v>1620000</v>
      </c>
      <c r="H48" s="11">
        <f t="shared" si="14"/>
        <v>2784523.658940237</v>
      </c>
      <c r="I48" s="11">
        <f>MAX(0, H48 * Inputs!$C$19)</f>
        <v>974583.28062908293</v>
      </c>
      <c r="J48" s="11">
        <v>0</v>
      </c>
      <c r="K48" s="11">
        <f>0.65*Table2[[#This Row],[EBIT]]</f>
        <v>1809940.3783111542</v>
      </c>
      <c r="L48" s="11">
        <f t="shared" si="11"/>
        <v>3429940.3783111544</v>
      </c>
      <c r="M48" s="11">
        <f t="shared" si="12"/>
        <v>4404523.658940237</v>
      </c>
      <c r="N48" s="11">
        <v>0</v>
      </c>
      <c r="O48" s="11">
        <v>-16882.632149999961</v>
      </c>
      <c r="P48" s="11">
        <f t="shared" si="15"/>
        <v>3413057.7461611545</v>
      </c>
      <c r="Q48" s="11">
        <f t="shared" si="16"/>
        <v>4387641.0267902371</v>
      </c>
      <c r="R48" s="11">
        <f t="shared" si="10"/>
        <v>1867059.4667779016</v>
      </c>
      <c r="S48" s="11">
        <f t="shared" si="13"/>
        <v>2400189.8957337546</v>
      </c>
      <c r="T48" s="11">
        <v>7</v>
      </c>
    </row>
    <row r="49" spans="3:23" x14ac:dyDescent="0.2">
      <c r="C49" s="11">
        <v>2009</v>
      </c>
      <c r="D49" s="11">
        <v>7</v>
      </c>
      <c r="E49" s="11">
        <f>'Rates &amp; Ops'!D11*'Rates &amp; Ops'!E11</f>
        <v>6241746</v>
      </c>
      <c r="F49" s="11">
        <f>'Rates &amp; Ops'!G11</f>
        <v>1850565.4375099232</v>
      </c>
      <c r="G49" s="11">
        <v>1620000</v>
      </c>
      <c r="H49" s="11">
        <f t="shared" si="14"/>
        <v>2771180.5624900768</v>
      </c>
      <c r="I49" s="11">
        <f>MAX(0, H49 * Inputs!$C$19)</f>
        <v>969913.19687152677</v>
      </c>
      <c r="J49" s="11">
        <v>0</v>
      </c>
      <c r="K49" s="11">
        <f>0.65*Table2[[#This Row],[EBIT]]</f>
        <v>1801267.36561855</v>
      </c>
      <c r="L49" s="11">
        <f t="shared" si="11"/>
        <v>3421267.3656185502</v>
      </c>
      <c r="M49" s="11">
        <f t="shared" si="12"/>
        <v>4391180.5624900768</v>
      </c>
      <c r="N49" s="11">
        <v>0</v>
      </c>
      <c r="O49" s="11">
        <v>-17389.111114499974</v>
      </c>
      <c r="P49" s="11">
        <f t="shared" si="15"/>
        <v>3403878.2545040501</v>
      </c>
      <c r="Q49" s="11">
        <f t="shared" si="16"/>
        <v>4373791.4513755767</v>
      </c>
      <c r="R49" s="11">
        <f t="shared" si="10"/>
        <v>1708291.7160469834</v>
      </c>
      <c r="S49" s="11">
        <f t="shared" si="13"/>
        <v>2195058.4437664174</v>
      </c>
      <c r="T49" s="11">
        <v>8</v>
      </c>
    </row>
    <row r="50" spans="3:23" x14ac:dyDescent="0.2">
      <c r="C50" s="11">
        <v>2010</v>
      </c>
      <c r="D50" s="11">
        <v>8</v>
      </c>
      <c r="E50" s="11">
        <f>'Rates &amp; Ops'!D12*'Rates &amp; Ops'!E12</f>
        <v>6313758</v>
      </c>
      <c r="F50" s="11">
        <f>'Rates &amp; Ops'!G12</f>
        <v>1925143.2246415734</v>
      </c>
      <c r="G50" s="11">
        <v>1620000</v>
      </c>
      <c r="H50" s="11">
        <f t="shared" si="14"/>
        <v>2768614.7753584264</v>
      </c>
      <c r="I50" s="11">
        <f>MAX(0, H50 * Inputs!$C$19)</f>
        <v>969015.17137544916</v>
      </c>
      <c r="J50" s="11">
        <v>0</v>
      </c>
      <c r="K50" s="11">
        <f>0.65*Table2[[#This Row],[EBIT]]</f>
        <v>1799599.6039829771</v>
      </c>
      <c r="L50" s="11">
        <f t="shared" si="11"/>
        <v>3419599.6039829771</v>
      </c>
      <c r="M50" s="11">
        <f t="shared" si="12"/>
        <v>4388614.7753584264</v>
      </c>
      <c r="N50" s="11">
        <v>0</v>
      </c>
      <c r="O50" s="11">
        <v>-17910.784447935061</v>
      </c>
      <c r="P50" s="11">
        <f t="shared" si="15"/>
        <v>3401688.8195350422</v>
      </c>
      <c r="Q50" s="11">
        <f t="shared" si="16"/>
        <v>4370703.990910491</v>
      </c>
      <c r="R50" s="11">
        <f t="shared" si="10"/>
        <v>1566232.0297839465</v>
      </c>
      <c r="S50" s="11">
        <f t="shared" si="13"/>
        <v>2012393.5334579523</v>
      </c>
      <c r="T50" s="11">
        <v>9</v>
      </c>
    </row>
    <row r="51" spans="3:23" x14ac:dyDescent="0.2">
      <c r="C51" s="11">
        <v>2011</v>
      </c>
      <c r="D51" s="11">
        <v>9</v>
      </c>
      <c r="E51" s="11">
        <f>'Rates &amp; Ops'!D13*'Rates &amp; Ops'!E13</f>
        <v>6386476</v>
      </c>
      <c r="F51" s="11">
        <f>'Rates &amp; Ops'!G13</f>
        <v>2002726.496594629</v>
      </c>
      <c r="G51" s="11">
        <v>1620000</v>
      </c>
      <c r="H51" s="11">
        <f t="shared" si="14"/>
        <v>2763749.5034053707</v>
      </c>
      <c r="I51" s="11">
        <f>MAX(0, H51 * Inputs!$C$19)</f>
        <v>967312.32619187969</v>
      </c>
      <c r="J51" s="11">
        <v>0</v>
      </c>
      <c r="K51" s="11">
        <f>0.65*Table2[[#This Row],[EBIT]]</f>
        <v>1796437.1772134909</v>
      </c>
      <c r="L51" s="11">
        <f t="shared" si="11"/>
        <v>3416437.1772134909</v>
      </c>
      <c r="M51" s="11">
        <f t="shared" si="12"/>
        <v>4383749.5034053707</v>
      </c>
      <c r="N51" s="11">
        <v>0</v>
      </c>
      <c r="O51" s="11">
        <v>-18448.10798137309</v>
      </c>
      <c r="P51" s="11">
        <f t="shared" si="15"/>
        <v>3397989.0692321179</v>
      </c>
      <c r="Q51" s="11">
        <f t="shared" si="16"/>
        <v>4365301.3954239972</v>
      </c>
      <c r="R51" s="11">
        <f t="shared" si="10"/>
        <v>1435347.3045570699</v>
      </c>
      <c r="S51" s="11">
        <f t="shared" si="13"/>
        <v>1843950.4847839274</v>
      </c>
      <c r="T51" s="11">
        <v>10</v>
      </c>
    </row>
    <row r="52" spans="3:23" x14ac:dyDescent="0.2">
      <c r="C52" s="11">
        <v>2012</v>
      </c>
      <c r="D52" s="11">
        <v>10</v>
      </c>
      <c r="E52" s="11">
        <f>'Rates &amp; Ops'!D14*'Rates &amp; Ops'!E14</f>
        <v>6169512</v>
      </c>
      <c r="F52" s="11">
        <f>'Rates &amp; Ops'!G14</f>
        <v>2089144.4192687829</v>
      </c>
      <c r="G52" s="11">
        <v>1620000</v>
      </c>
      <c r="H52" s="11">
        <f t="shared" si="14"/>
        <v>2460367.5807312168</v>
      </c>
      <c r="I52" s="11">
        <f>MAX(0, H52 * Inputs!$C$19)</f>
        <v>861128.65325592586</v>
      </c>
      <c r="J52" s="11">
        <v>0</v>
      </c>
      <c r="K52" s="11">
        <f>0.65*Table2[[#This Row],[EBIT]]</f>
        <v>1599238.9274752911</v>
      </c>
      <c r="L52" s="11">
        <f t="shared" si="11"/>
        <v>3219238.9274752913</v>
      </c>
      <c r="M52" s="11">
        <f t="shared" si="12"/>
        <v>4080367.5807312168</v>
      </c>
      <c r="N52" s="11">
        <v>-350000</v>
      </c>
      <c r="O52" s="11">
        <v>-19001.551220814232</v>
      </c>
      <c r="P52" s="11">
        <f t="shared" si="15"/>
        <v>2850237.3762544771</v>
      </c>
      <c r="Q52" s="11">
        <f t="shared" si="16"/>
        <v>3711366.0295104026</v>
      </c>
      <c r="R52" s="11">
        <f t="shared" si="10"/>
        <v>1104560.6146311054</v>
      </c>
      <c r="S52" s="11">
        <f t="shared" si="13"/>
        <v>1438276.2561566408</v>
      </c>
      <c r="T52" s="11">
        <v>11</v>
      </c>
    </row>
    <row r="53" spans="3:23" x14ac:dyDescent="0.2">
      <c r="C53" s="11">
        <v>2013</v>
      </c>
      <c r="D53" s="11">
        <v>11</v>
      </c>
      <c r="E53" s="11">
        <f>'Rates &amp; Ops'!D15*'Rates &amp; Ops'!E15</f>
        <v>6152172</v>
      </c>
      <c r="F53" s="11">
        <f>'Rates &amp; Ops'!G15</f>
        <v>2167398.860296011</v>
      </c>
      <c r="G53" s="11">
        <v>1630000</v>
      </c>
      <c r="H53" s="11">
        <f t="shared" si="14"/>
        <v>2354773.139703989</v>
      </c>
      <c r="I53" s="11">
        <f>MAX(0, H53 * Inputs!$C$19)</f>
        <v>824170.59889639611</v>
      </c>
      <c r="J53" s="11">
        <v>0</v>
      </c>
      <c r="K53" s="11">
        <f>0.65*Table2[[#This Row],[EBIT]]</f>
        <v>1530602.5408075929</v>
      </c>
      <c r="L53" s="11">
        <f t="shared" si="11"/>
        <v>3160602.5408075927</v>
      </c>
      <c r="M53" s="11">
        <f t="shared" si="12"/>
        <v>3984773.139703989</v>
      </c>
      <c r="N53" s="11">
        <v>0</v>
      </c>
      <c r="O53" s="11">
        <v>-19571.597757438663</v>
      </c>
      <c r="P53" s="11">
        <f t="shared" si="15"/>
        <v>3141030.943050154</v>
      </c>
      <c r="Q53" s="11">
        <f t="shared" si="16"/>
        <v>3965201.5419465504</v>
      </c>
      <c r="R53" s="11">
        <f t="shared" si="10"/>
        <v>1116745.572879507</v>
      </c>
      <c r="S53" s="11">
        <f t="shared" si="13"/>
        <v>1409766.8401966773</v>
      </c>
      <c r="T53" s="11">
        <v>12</v>
      </c>
    </row>
    <row r="54" spans="3:23" x14ac:dyDescent="0.2">
      <c r="C54" s="11">
        <v>2014</v>
      </c>
      <c r="D54" s="11">
        <v>12</v>
      </c>
      <c r="E54" s="11">
        <f>'Rates &amp; Ops'!D16*'Rates &amp; Ops'!E16</f>
        <v>6223019</v>
      </c>
      <c r="F54" s="11">
        <f>'Rates &amp; Ops'!G16</f>
        <v>2254745.0343659404</v>
      </c>
      <c r="G54" s="11">
        <v>1630000</v>
      </c>
      <c r="H54" s="11">
        <f t="shared" si="14"/>
        <v>2338273.9656340596</v>
      </c>
      <c r="I54" s="11">
        <f>MAX(0, H54 * Inputs!$C$19)</f>
        <v>818395.88797192078</v>
      </c>
      <c r="J54" s="11">
        <v>0</v>
      </c>
      <c r="K54" s="11">
        <f>0.65*Table2[[#This Row],[EBIT]]</f>
        <v>1519878.0776621387</v>
      </c>
      <c r="L54" s="11">
        <f t="shared" si="11"/>
        <v>3149878.0776621387</v>
      </c>
      <c r="M54" s="11">
        <f t="shared" si="12"/>
        <v>3968273.9656340596</v>
      </c>
      <c r="N54" s="11">
        <v>0</v>
      </c>
      <c r="O54" s="11">
        <v>-20158.745690161828</v>
      </c>
      <c r="P54" s="11">
        <f t="shared" si="15"/>
        <v>3129719.3319719769</v>
      </c>
      <c r="Q54" s="11">
        <f t="shared" si="16"/>
        <v>3948115.2199438978</v>
      </c>
      <c r="R54" s="11">
        <f t="shared" si="10"/>
        <v>1020847.6168296764</v>
      </c>
      <c r="S54" s="11">
        <f t="shared" si="13"/>
        <v>1287790.8801838816</v>
      </c>
      <c r="T54" s="11">
        <v>13</v>
      </c>
    </row>
    <row r="55" spans="3:23" x14ac:dyDescent="0.2">
      <c r="C55" s="11">
        <v>2015</v>
      </c>
      <c r="D55" s="11">
        <v>13</v>
      </c>
      <c r="E55" s="11">
        <f>'Rates &amp; Ops'!D17*'Rates &amp; Ops'!E17</f>
        <v>6294564</v>
      </c>
      <c r="F55" s="11">
        <f>'Rates &amp; Ops'!G17</f>
        <v>2345611.2592508881</v>
      </c>
      <c r="G55" s="11">
        <v>1630000</v>
      </c>
      <c r="H55" s="11">
        <f t="shared" si="14"/>
        <v>2318952.7407491119</v>
      </c>
      <c r="I55" s="11">
        <f>MAX(0, H55 * Inputs!$C$19)</f>
        <v>811633.45926218911</v>
      </c>
      <c r="J55" s="11">
        <v>0</v>
      </c>
      <c r="K55" s="11">
        <f>0.65*Table2[[#This Row],[EBIT]]</f>
        <v>1507319.2814869229</v>
      </c>
      <c r="L55" s="11">
        <f t="shared" si="11"/>
        <v>3137319.2814869229</v>
      </c>
      <c r="M55" s="11">
        <f t="shared" si="12"/>
        <v>3948952.7407491119</v>
      </c>
      <c r="N55" s="11">
        <v>0</v>
      </c>
      <c r="O55" s="11">
        <v>-20763.508060866734</v>
      </c>
      <c r="P55" s="11">
        <f t="shared" si="15"/>
        <v>3116555.7734260559</v>
      </c>
      <c r="Q55" s="11">
        <f t="shared" si="16"/>
        <v>3928189.2326882454</v>
      </c>
      <c r="R55" s="11">
        <f t="shared" si="10"/>
        <v>932618.29827063123</v>
      </c>
      <c r="S55" s="11">
        <f t="shared" si="13"/>
        <v>1175496.7418559657</v>
      </c>
      <c r="T55" s="11">
        <v>14</v>
      </c>
    </row>
    <row r="56" spans="3:23" x14ac:dyDescent="0.2">
      <c r="C56" s="11">
        <v>2016</v>
      </c>
      <c r="D56" s="11">
        <v>14</v>
      </c>
      <c r="E56" s="11">
        <f>'Rates &amp; Ops'!D18*'Rates &amp; Ops'!E18</f>
        <v>6385050</v>
      </c>
      <c r="F56" s="11">
        <f>'Rates &amp; Ops'!G18</f>
        <v>2446824.7064041747</v>
      </c>
      <c r="G56" s="11">
        <v>1630000</v>
      </c>
      <c r="H56" s="11">
        <f t="shared" si="14"/>
        <v>2308225.2935958253</v>
      </c>
      <c r="I56" s="11">
        <f>MAX(0, H56 * Inputs!$C$19)</f>
        <v>807878.85275853879</v>
      </c>
      <c r="J56" s="11">
        <v>0</v>
      </c>
      <c r="K56" s="11">
        <f>0.65*Table2[[#This Row],[EBIT]]</f>
        <v>1500346.4408372864</v>
      </c>
      <c r="L56" s="11">
        <f t="shared" si="11"/>
        <v>3130346.4408372864</v>
      </c>
      <c r="M56" s="11">
        <f t="shared" si="12"/>
        <v>3938225.2935958253</v>
      </c>
      <c r="N56" s="11">
        <v>0</v>
      </c>
      <c r="O56" s="11">
        <v>-21386.413302692701</v>
      </c>
      <c r="P56" s="11">
        <f t="shared" si="15"/>
        <v>3108960.0275345938</v>
      </c>
      <c r="Q56" s="11">
        <f t="shared" si="16"/>
        <v>3916838.8802931327</v>
      </c>
      <c r="R56" s="11">
        <f t="shared" si="10"/>
        <v>853527.79648012412</v>
      </c>
      <c r="S56" s="11">
        <f t="shared" si="13"/>
        <v>1075321.274334742</v>
      </c>
      <c r="T56" s="11">
        <v>15</v>
      </c>
    </row>
    <row r="57" spans="3:23" x14ac:dyDescent="0.2">
      <c r="C57" s="11">
        <v>2017</v>
      </c>
      <c r="D57" s="11">
        <v>15</v>
      </c>
      <c r="E57" s="11">
        <f>'Rates &amp; Ops'!D19*'Rates &amp; Ops'!E19</f>
        <v>5151938</v>
      </c>
      <c r="F57" s="11">
        <f>'Rates &amp; Ops'!G19</f>
        <v>2538477.0105365464</v>
      </c>
      <c r="G57" s="11">
        <f>1560000+70000</f>
        <v>1630000</v>
      </c>
      <c r="H57" s="11">
        <f t="shared" si="14"/>
        <v>983460.98946345365</v>
      </c>
      <c r="I57" s="11">
        <f>MAX(0, H57 * Inputs!$C$19)</f>
        <v>344211.34631220874</v>
      </c>
      <c r="J57" s="11">
        <v>0</v>
      </c>
      <c r="K57" s="11">
        <f>0.65*Table2[[#This Row],[EBIT]]</f>
        <v>639249.64315124485</v>
      </c>
      <c r="L57" s="11">
        <f t="shared" si="11"/>
        <v>2269249.6431512451</v>
      </c>
      <c r="M57" s="11">
        <f t="shared" si="12"/>
        <v>2613460.9894634536</v>
      </c>
      <c r="N57" s="11">
        <v>5000000</v>
      </c>
      <c r="O57" s="11">
        <f>-SUM(O43:O56)</f>
        <v>734266.85672578227</v>
      </c>
      <c r="P57" s="11">
        <f>L57+N57+O57+3710000</f>
        <v>11713516.499877028</v>
      </c>
      <c r="Q57" s="11">
        <f t="shared" si="16"/>
        <v>8347727.8461892363</v>
      </c>
      <c r="R57" s="11">
        <f t="shared" si="10"/>
        <v>2950280.6208854369</v>
      </c>
      <c r="S57" s="11">
        <f t="shared" si="13"/>
        <v>2102540.2314750128</v>
      </c>
      <c r="T57" s="11">
        <v>16</v>
      </c>
    </row>
    <row r="58" spans="3:23" x14ac:dyDescent="0.2">
      <c r="O58" s="10"/>
    </row>
    <row r="59" spans="3:23" x14ac:dyDescent="0.2">
      <c r="W59" t="s">
        <v>69</v>
      </c>
    </row>
    <row r="62" spans="3:23" x14ac:dyDescent="0.2">
      <c r="D62" t="s">
        <v>33</v>
      </c>
    </row>
    <row r="64" spans="3:23" x14ac:dyDescent="0.2">
      <c r="E64" t="s">
        <v>38</v>
      </c>
    </row>
    <row r="66" spans="4:14" x14ac:dyDescent="0.2">
      <c r="F66" s="15" t="s">
        <v>66</v>
      </c>
      <c r="G66" s="15"/>
      <c r="H66" s="15"/>
      <c r="I66" s="15"/>
      <c r="J66" s="5"/>
      <c r="K66" s="15" t="s">
        <v>56</v>
      </c>
      <c r="L66" s="15"/>
      <c r="M66" s="15"/>
      <c r="N66" s="15"/>
    </row>
    <row r="67" spans="4:14" x14ac:dyDescent="0.2">
      <c r="F67" s="16" t="s">
        <v>57</v>
      </c>
      <c r="G67" s="16"/>
      <c r="H67" s="17" t="s">
        <v>52</v>
      </c>
      <c r="I67" s="16"/>
      <c r="J67" s="5"/>
      <c r="K67" s="16" t="s">
        <v>57</v>
      </c>
      <c r="L67" s="16"/>
      <c r="M67" s="17" t="s">
        <v>52</v>
      </c>
      <c r="N67" s="16"/>
    </row>
    <row r="68" spans="4:14" x14ac:dyDescent="0.2">
      <c r="F68" s="6" t="s">
        <v>53</v>
      </c>
      <c r="G68" s="6" t="s">
        <v>54</v>
      </c>
      <c r="H68" s="6" t="s">
        <v>53</v>
      </c>
      <c r="I68" s="6" t="s">
        <v>55</v>
      </c>
      <c r="J68" s="5"/>
      <c r="K68" s="6" t="s">
        <v>53</v>
      </c>
      <c r="L68" s="6" t="s">
        <v>54</v>
      </c>
      <c r="M68" s="6" t="s">
        <v>53</v>
      </c>
      <c r="N68" s="6" t="s">
        <v>55</v>
      </c>
    </row>
    <row r="69" spans="4:14" x14ac:dyDescent="0.2">
      <c r="F69" s="7">
        <f>SUM(Table2[DCF (NY)])</f>
        <v>-5421547.9187791701</v>
      </c>
      <c r="G69" s="7">
        <f>SUM(Table1[DCF (NY) ])</f>
        <v>-4848076.6112303231</v>
      </c>
      <c r="H69" s="7">
        <f>SUM(Table2[DCF (HK)])</f>
        <v>1722036.0983749656</v>
      </c>
      <c r="I69" s="7">
        <f>SUM(Table1[DCF (HK)])</f>
        <v>3467958.4425579477</v>
      </c>
      <c r="J69" s="5"/>
      <c r="K69" s="8">
        <f>IRR(Table2[FCF (NY)])</f>
        <v>6.0353914625873584E-2</v>
      </c>
      <c r="L69" s="8">
        <f>IRR(Table1[FCF (NY)])</f>
        <v>6.6435261646117683E-2</v>
      </c>
      <c r="M69" s="8">
        <f>IRR(Table2[FCF (HK)])</f>
        <v>9.9967097234308522E-2</v>
      </c>
      <c r="N69" s="8">
        <f>IRR(Table1[FCF (HK)])</f>
        <v>0.10752724675281189</v>
      </c>
    </row>
    <row r="72" spans="4:14" x14ac:dyDescent="0.2">
      <c r="D72" t="s">
        <v>62</v>
      </c>
      <c r="E72">
        <f>SUM(E74:E100)</f>
        <v>-426617.44812752597</v>
      </c>
      <c r="G72" t="s">
        <v>64</v>
      </c>
      <c r="H72">
        <f>SUM(F74:F90)</f>
        <v>-1540471.7404227606</v>
      </c>
    </row>
    <row r="74" spans="4:14" x14ac:dyDescent="0.2">
      <c r="D74" t="s">
        <v>63</v>
      </c>
      <c r="E74">
        <f t="shared" ref="E74:E100" si="17">Q3/1.11^$T3</f>
        <v>-3900000</v>
      </c>
      <c r="F74">
        <f>Q41/1.11^$T41</f>
        <v>-3900000</v>
      </c>
      <c r="K74" s="15" t="s">
        <v>65</v>
      </c>
      <c r="L74" s="15"/>
      <c r="M74" s="15"/>
      <c r="N74" s="15"/>
    </row>
    <row r="75" spans="4:14" x14ac:dyDescent="0.2">
      <c r="E75">
        <f t="shared" si="17"/>
        <v>-3513513.5135135134</v>
      </c>
      <c r="F75">
        <f t="shared" ref="F75:F90" si="18">Q42/1.11^$T42</f>
        <v>-3513513.5135135134</v>
      </c>
      <c r="K75" s="16" t="s">
        <v>57</v>
      </c>
      <c r="L75" s="16"/>
      <c r="M75" s="17" t="s">
        <v>52</v>
      </c>
      <c r="N75" s="16"/>
    </row>
    <row r="76" spans="4:14" x14ac:dyDescent="0.2">
      <c r="E76">
        <f t="shared" si="17"/>
        <v>-21118415.713010304</v>
      </c>
      <c r="F76">
        <f t="shared" si="18"/>
        <v>-21118415.713010304</v>
      </c>
      <c r="K76" s="6" t="s">
        <v>53</v>
      </c>
      <c r="L76" s="6" t="s">
        <v>54</v>
      </c>
      <c r="M76" s="6" t="s">
        <v>53</v>
      </c>
      <c r="N76" s="6" t="s">
        <v>55</v>
      </c>
    </row>
    <row r="77" spans="4:14" x14ac:dyDescent="0.2">
      <c r="E77">
        <f t="shared" si="17"/>
        <v>4163111.833528195</v>
      </c>
      <c r="F77">
        <f t="shared" si="18"/>
        <v>4163111.833528195</v>
      </c>
      <c r="K77" s="7">
        <f>SUM(K88:K104)</f>
        <v>-8045291.1035172725</v>
      </c>
      <c r="L77" s="7">
        <f>SUM(I88:I114)</f>
        <v>-7801561.2458780101</v>
      </c>
      <c r="M77" s="14">
        <f>SUM(F74:F90)</f>
        <v>-1540471.7404227606</v>
      </c>
      <c r="N77" s="7">
        <f>SUM(E74:E100)</f>
        <v>-426617.44812752597</v>
      </c>
    </row>
    <row r="78" spans="4:14" x14ac:dyDescent="0.2">
      <c r="E78">
        <f t="shared" si="17"/>
        <v>3746402.5325412932</v>
      </c>
      <c r="F78">
        <f t="shared" si="18"/>
        <v>3746402.5325412932</v>
      </c>
    </row>
    <row r="79" spans="4:14" x14ac:dyDescent="0.2">
      <c r="E79">
        <f t="shared" si="17"/>
        <v>2979874.2627340308</v>
      </c>
      <c r="F79">
        <f t="shared" si="18"/>
        <v>2979874.2627340308</v>
      </c>
    </row>
    <row r="80" spans="4:14" x14ac:dyDescent="0.2">
      <c r="E80">
        <f t="shared" si="17"/>
        <v>2215377.8572708</v>
      </c>
      <c r="F80">
        <f t="shared" si="18"/>
        <v>2215377.8572708</v>
      </c>
    </row>
    <row r="81" spans="5:11" x14ac:dyDescent="0.2">
      <c r="E81">
        <f t="shared" si="17"/>
        <v>2113344.2045230777</v>
      </c>
      <c r="F81">
        <f t="shared" si="18"/>
        <v>2113344.2045230777</v>
      </c>
    </row>
    <row r="82" spans="5:11" x14ac:dyDescent="0.2">
      <c r="E82">
        <f t="shared" si="17"/>
        <v>1897904.0000336391</v>
      </c>
      <c r="F82">
        <f t="shared" si="18"/>
        <v>1897904.0000336391</v>
      </c>
    </row>
    <row r="83" spans="5:11" x14ac:dyDescent="0.2">
      <c r="E83">
        <f t="shared" si="17"/>
        <v>1708616.458677086</v>
      </c>
      <c r="F83">
        <f t="shared" si="18"/>
        <v>1708616.458677086</v>
      </c>
    </row>
    <row r="84" spans="5:11" x14ac:dyDescent="0.2">
      <c r="E84">
        <f t="shared" si="17"/>
        <v>1537391.3966408535</v>
      </c>
      <c r="F84">
        <f t="shared" si="18"/>
        <v>1537391.3966408535</v>
      </c>
    </row>
    <row r="85" spans="5:11" x14ac:dyDescent="0.2">
      <c r="E85">
        <f t="shared" si="17"/>
        <v>1177554.5140940396</v>
      </c>
      <c r="F85">
        <f t="shared" si="18"/>
        <v>1177554.5140940396</v>
      </c>
    </row>
    <row r="86" spans="5:11" x14ac:dyDescent="0.2">
      <c r="E86">
        <f t="shared" si="17"/>
        <v>1133416.4745444024</v>
      </c>
      <c r="F86">
        <f t="shared" si="18"/>
        <v>1133416.4745444024</v>
      </c>
    </row>
    <row r="87" spans="5:11" x14ac:dyDescent="0.2">
      <c r="E87">
        <f t="shared" si="17"/>
        <v>1016695.9515230944</v>
      </c>
      <c r="F87">
        <f t="shared" si="18"/>
        <v>1016695.9515230944</v>
      </c>
    </row>
    <row r="88" spans="5:11" x14ac:dyDescent="0.2">
      <c r="E88">
        <f t="shared" si="17"/>
        <v>911319.57274747395</v>
      </c>
      <c r="F88">
        <f t="shared" si="18"/>
        <v>911319.57274747395</v>
      </c>
      <c r="H88" t="s">
        <v>67</v>
      </c>
      <c r="I88">
        <f t="shared" ref="I88:I114" si="19">P3/1.11^$T3</f>
        <v>-3900000</v>
      </c>
      <c r="K88">
        <f t="shared" ref="K88:K104" si="20">P41/1.11^$T41</f>
        <v>-3900000</v>
      </c>
    </row>
    <row r="89" spans="5:11" x14ac:dyDescent="0.2">
      <c r="E89">
        <f t="shared" si="17"/>
        <v>818636.35111023206</v>
      </c>
      <c r="F89">
        <f t="shared" si="18"/>
        <v>818636.35111023206</v>
      </c>
      <c r="I89">
        <f t="shared" si="19"/>
        <v>-3513513.5135135134</v>
      </c>
      <c r="K89">
        <f t="shared" si="20"/>
        <v>-3513513.5135135134</v>
      </c>
    </row>
    <row r="90" spans="5:11" x14ac:dyDescent="0.2">
      <c r="E90">
        <f t="shared" si="17"/>
        <v>346727.47537969082</v>
      </c>
      <c r="F90">
        <f t="shared" si="18"/>
        <v>1571812.0761328405</v>
      </c>
      <c r="I90">
        <f t="shared" si="19"/>
        <v>-22288775.261748232</v>
      </c>
      <c r="K90">
        <f t="shared" si="20"/>
        <v>-22288775.261748232</v>
      </c>
    </row>
    <row r="91" spans="5:11" x14ac:dyDescent="0.2">
      <c r="E91">
        <f t="shared" si="17"/>
        <v>432190.23788335681</v>
      </c>
      <c r="I91">
        <f t="shared" si="19"/>
        <v>3101414.4312318154</v>
      </c>
      <c r="K91">
        <f t="shared" si="20"/>
        <v>3101414.4312318154</v>
      </c>
    </row>
    <row r="92" spans="5:11" x14ac:dyDescent="0.2">
      <c r="E92">
        <f t="shared" si="17"/>
        <v>382166.31725306489</v>
      </c>
      <c r="I92">
        <f t="shared" si="19"/>
        <v>2791266.6702923211</v>
      </c>
      <c r="K92">
        <f t="shared" si="20"/>
        <v>2791266.6702923211</v>
      </c>
    </row>
    <row r="93" spans="5:11" x14ac:dyDescent="0.2">
      <c r="E93">
        <f t="shared" si="17"/>
        <v>338340.91088368534</v>
      </c>
      <c r="I93">
        <f t="shared" si="19"/>
        <v>2257637.3351989221</v>
      </c>
      <c r="K93">
        <f t="shared" si="20"/>
        <v>2257637.3351989221</v>
      </c>
    </row>
    <row r="94" spans="5:11" x14ac:dyDescent="0.2">
      <c r="E94">
        <f t="shared" si="17"/>
        <v>297131.43706224597</v>
      </c>
      <c r="I94">
        <f t="shared" si="19"/>
        <v>1672705.0794374689</v>
      </c>
      <c r="K94">
        <f t="shared" si="20"/>
        <v>1672705.0794374689</v>
      </c>
    </row>
    <row r="95" spans="5:11" x14ac:dyDescent="0.2">
      <c r="E95">
        <f t="shared" si="17"/>
        <v>128035.06463743605</v>
      </c>
      <c r="I95">
        <f t="shared" si="19"/>
        <v>1643927.9702945279</v>
      </c>
      <c r="K95">
        <f t="shared" si="20"/>
        <v>1643927.9702945279</v>
      </c>
    </row>
    <row r="96" spans="5:11" x14ac:dyDescent="0.2">
      <c r="E96">
        <f t="shared" si="17"/>
        <v>194227.97363099965</v>
      </c>
      <c r="I96">
        <f t="shared" si="19"/>
        <v>1477032.964801965</v>
      </c>
      <c r="K96">
        <f t="shared" si="20"/>
        <v>1477032.964801965</v>
      </c>
    </row>
    <row r="97" spans="5:11" x14ac:dyDescent="0.2">
      <c r="E97">
        <f t="shared" si="17"/>
        <v>169057.60378142391</v>
      </c>
      <c r="I97">
        <f t="shared" si="19"/>
        <v>1329804.4242855774</v>
      </c>
      <c r="K97">
        <f t="shared" si="20"/>
        <v>1329804.4242855774</v>
      </c>
    </row>
    <row r="98" spans="5:11" x14ac:dyDescent="0.2">
      <c r="E98">
        <f t="shared" si="17"/>
        <v>145673.70627760526</v>
      </c>
      <c r="I98">
        <f t="shared" si="19"/>
        <v>1196719.0092288493</v>
      </c>
      <c r="K98">
        <f t="shared" si="20"/>
        <v>1196719.0092288493</v>
      </c>
    </row>
    <row r="99" spans="5:11" x14ac:dyDescent="0.2">
      <c r="E99">
        <f t="shared" si="17"/>
        <v>125342.22678247216</v>
      </c>
      <c r="I99">
        <f t="shared" si="19"/>
        <v>904332.7610267452</v>
      </c>
      <c r="K99">
        <f t="shared" si="20"/>
        <v>904332.7610267452</v>
      </c>
    </row>
    <row r="100" spans="5:11" x14ac:dyDescent="0.2">
      <c r="E100">
        <f t="shared" si="17"/>
        <v>126773.41485609408</v>
      </c>
      <c r="I100">
        <f t="shared" si="19"/>
        <v>897834.87175764202</v>
      </c>
      <c r="K100">
        <f t="shared" si="20"/>
        <v>897834.87175764202</v>
      </c>
    </row>
    <row r="101" spans="5:11" x14ac:dyDescent="0.2">
      <c r="I101">
        <f t="shared" si="19"/>
        <v>805947.34372131317</v>
      </c>
      <c r="K101">
        <f t="shared" si="20"/>
        <v>805947.34372131317</v>
      </c>
    </row>
    <row r="102" spans="5:11" x14ac:dyDescent="0.2">
      <c r="I102">
        <f t="shared" si="19"/>
        <v>723024.81057885243</v>
      </c>
      <c r="K102">
        <f t="shared" si="20"/>
        <v>723024.81057885243</v>
      </c>
    </row>
    <row r="103" spans="5:11" x14ac:dyDescent="0.2">
      <c r="I103">
        <f t="shared" si="19"/>
        <v>649786.15931682463</v>
      </c>
      <c r="K103">
        <f t="shared" si="20"/>
        <v>649786.15931682463</v>
      </c>
    </row>
    <row r="104" spans="5:11" x14ac:dyDescent="0.2">
      <c r="I104">
        <f t="shared" si="19"/>
        <v>281915.16227553791</v>
      </c>
      <c r="K104">
        <f t="shared" si="20"/>
        <v>2205563.8405716447</v>
      </c>
    </row>
    <row r="105" spans="5:11" x14ac:dyDescent="0.2">
      <c r="I105">
        <f t="shared" si="19"/>
        <v>381101.70663087833</v>
      </c>
    </row>
    <row r="106" spans="5:11" x14ac:dyDescent="0.2">
      <c r="I106">
        <f t="shared" si="19"/>
        <v>338622.19625023118</v>
      </c>
    </row>
    <row r="107" spans="5:11" x14ac:dyDescent="0.2">
      <c r="I107">
        <f t="shared" si="19"/>
        <v>301161.76374117035</v>
      </c>
    </row>
    <row r="108" spans="5:11" x14ac:dyDescent="0.2">
      <c r="I108">
        <f t="shared" si="19"/>
        <v>266293.42944792495</v>
      </c>
    </row>
    <row r="109" spans="5:11" x14ac:dyDescent="0.2">
      <c r="I109">
        <f t="shared" si="19"/>
        <v>115858.48485868085</v>
      </c>
    </row>
    <row r="110" spans="5:11" x14ac:dyDescent="0.2">
      <c r="I110">
        <f t="shared" si="19"/>
        <v>186276.33492306614</v>
      </c>
    </row>
    <row r="111" spans="5:11" x14ac:dyDescent="0.2">
      <c r="I111">
        <f t="shared" si="19"/>
        <v>163941.8115232198</v>
      </c>
    </row>
    <row r="112" spans="5:11" x14ac:dyDescent="0.2">
      <c r="I112">
        <f t="shared" si="19"/>
        <v>143362.29686554504</v>
      </c>
    </row>
    <row r="113" spans="9:9" x14ac:dyDescent="0.2">
      <c r="I113">
        <f t="shared" si="19"/>
        <v>125301.68031090085</v>
      </c>
    </row>
    <row r="114" spans="9:9" x14ac:dyDescent="0.2">
      <c r="I114">
        <f t="shared" si="19"/>
        <v>145458.83138375101</v>
      </c>
    </row>
  </sheetData>
  <mergeCells count="9">
    <mergeCell ref="K74:N74"/>
    <mergeCell ref="K75:L75"/>
    <mergeCell ref="M75:N75"/>
    <mergeCell ref="F66:I66"/>
    <mergeCell ref="F67:G67"/>
    <mergeCell ref="H67:I67"/>
    <mergeCell ref="K66:N66"/>
    <mergeCell ref="K67:L67"/>
    <mergeCell ref="M67:N67"/>
  </mergeCells>
  <conditionalFormatting sqref="B1:T1 B40:U57 B58:T59 B3:T39 B2">
    <cfRule type="cellIs" dxfId="0" priority="1" operator="lessThan">
      <formula>0</formula>
    </cfRule>
  </conditionalFormatting>
  <pageMargins left="0.7" right="0.7" top="0.75" bottom="0.75" header="0.3" footer="0.3"/>
  <ignoredErrors>
    <ignoredError sqref="P3:Q4 G5:G24" calculatedColumn="1"/>
  </ignoredErrors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and charts</vt:lpstr>
      <vt:lpstr>Inputs</vt:lpstr>
      <vt:lpstr>Rates &amp; Ops</vt:lpstr>
      <vt:lpstr>Cash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PETIT</dc:creator>
  <cp:lastModifiedBy>TOM PETIT</cp:lastModifiedBy>
  <dcterms:created xsi:type="dcterms:W3CDTF">2026-02-16T10:05:33Z</dcterms:created>
  <dcterms:modified xsi:type="dcterms:W3CDTF">2026-02-21T16:29:50Z</dcterms:modified>
</cp:coreProperties>
</file>