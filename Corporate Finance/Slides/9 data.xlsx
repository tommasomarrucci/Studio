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nejew\Dropbox\_teaching\corp_finance_30017\"/>
    </mc:Choice>
  </mc:AlternateContent>
  <xr:revisionPtr revIDLastSave="0" documentId="13_ncr:1_{EA7A9021-2F20-43BF-AC65-2351B9EB604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ta" sheetId="1" r:id="rId1"/>
    <sheet name="apple" sheetId="2" r:id="rId2"/>
    <sheet name="nvidia" sheetId="3" r:id="rId3"/>
  </sheets>
  <definedNames>
    <definedName name="aykyduchm0ud42hh">data!$B$1:$C$301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 a="1"/>
  <c r="L5" i="3" s="1"/>
  <c r="L3" i="3"/>
  <c r="M11" i="3"/>
  <c r="M11" i="2"/>
  <c r="M10" i="2"/>
  <c r="L5" i="2" a="1"/>
  <c r="L5" i="2" s="1"/>
  <c r="L3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2" i="1"/>
  <c r="M10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<sst xmlns="http://schemas.openxmlformats.org/spreadsheetml/2006/main" count="15" uniqueCount="11">
  <si>
    <t>TIME INDEX</t>
  </si>
  <si>
    <t>ret_f</t>
  </si>
  <si>
    <t>excess_m</t>
  </si>
  <si>
    <t>ret_a</t>
  </si>
  <si>
    <t>ret_n</t>
  </si>
  <si>
    <t>excess_a</t>
  </si>
  <si>
    <t>excess_n</t>
  </si>
  <si>
    <t>coefs</t>
  </si>
  <si>
    <t>se</t>
  </si>
  <si>
    <t>CI 95, lower</t>
  </si>
  <si>
    <t>CI 95,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</si>
</sst>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49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106880498738431"/>
                  <c:y val="-0.187575329679534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data!$B$2:$B$301</c:f>
              <c:numCache>
                <c:formatCode>General</c:formatCode>
                <c:ptCount val="300"/>
                <c:pt idx="0">
                  <c:v>-4.7400000000000005E-2</c:v>
                </c:pt>
                <c:pt idx="1">
                  <c:v>2.46E-2</c:v>
                </c:pt>
                <c:pt idx="2">
                  <c:v>5.21E-2</c:v>
                </c:pt>
                <c:pt idx="3">
                  <c:v>-6.3899999999999998E-2</c:v>
                </c:pt>
                <c:pt idx="4">
                  <c:v>-4.3899999999999995E-2</c:v>
                </c:pt>
                <c:pt idx="5">
                  <c:v>4.6799999999999994E-2</c:v>
                </c:pt>
                <c:pt idx="6">
                  <c:v>-2.4799999999999999E-2</c:v>
                </c:pt>
                <c:pt idx="7">
                  <c:v>7.0300000000000001E-2</c:v>
                </c:pt>
                <c:pt idx="8">
                  <c:v>-5.4400000000000004E-2</c:v>
                </c:pt>
                <c:pt idx="9">
                  <c:v>-2.7799999999999998E-2</c:v>
                </c:pt>
                <c:pt idx="10">
                  <c:v>-0.107</c:v>
                </c:pt>
                <c:pt idx="11">
                  <c:v>1.18E-2</c:v>
                </c:pt>
                <c:pt idx="12">
                  <c:v>3.2500000000000001E-2</c:v>
                </c:pt>
                <c:pt idx="13">
                  <c:v>-0.1003</c:v>
                </c:pt>
                <c:pt idx="14">
                  <c:v>-7.2499999999999995E-2</c:v>
                </c:pt>
                <c:pt idx="15">
                  <c:v>7.9299999999999995E-2</c:v>
                </c:pt>
                <c:pt idx="16">
                  <c:v>6.8000000000000005E-3</c:v>
                </c:pt>
                <c:pt idx="17">
                  <c:v>-1.9400000000000001E-2</c:v>
                </c:pt>
                <c:pt idx="18">
                  <c:v>-2.1299999999999999E-2</c:v>
                </c:pt>
                <c:pt idx="19">
                  <c:v>-6.4000000000000001E-2</c:v>
                </c:pt>
                <c:pt idx="20">
                  <c:v>-9.2399999999999996E-2</c:v>
                </c:pt>
                <c:pt idx="21">
                  <c:v>2.4799999999999999E-2</c:v>
                </c:pt>
                <c:pt idx="22">
                  <c:v>7.5300000000000006E-2</c:v>
                </c:pt>
                <c:pt idx="23">
                  <c:v>1.61E-2</c:v>
                </c:pt>
                <c:pt idx="24">
                  <c:v>-1.44E-2</c:v>
                </c:pt>
                <c:pt idx="25">
                  <c:v>-2.3E-2</c:v>
                </c:pt>
                <c:pt idx="26">
                  <c:v>4.24E-2</c:v>
                </c:pt>
                <c:pt idx="27">
                  <c:v>-5.21E-2</c:v>
                </c:pt>
                <c:pt idx="28">
                  <c:v>-1.3600000000000001E-2</c:v>
                </c:pt>
                <c:pt idx="29">
                  <c:v>-7.2300000000000003E-2</c:v>
                </c:pt>
                <c:pt idx="30">
                  <c:v>-8.1900000000000001E-2</c:v>
                </c:pt>
                <c:pt idx="31">
                  <c:v>5.0000000000000001E-3</c:v>
                </c:pt>
                <c:pt idx="32">
                  <c:v>-0.10339999999999999</c:v>
                </c:pt>
                <c:pt idx="33">
                  <c:v>7.8399999999999997E-2</c:v>
                </c:pt>
                <c:pt idx="34">
                  <c:v>5.96E-2</c:v>
                </c:pt>
                <c:pt idx="35">
                  <c:v>-5.7599999999999998E-2</c:v>
                </c:pt>
                <c:pt idx="36">
                  <c:v>-2.5699999999999997E-2</c:v>
                </c:pt>
                <c:pt idx="37">
                  <c:v>-1.8799999999999997E-2</c:v>
                </c:pt>
                <c:pt idx="38">
                  <c:v>1.09E-2</c:v>
                </c:pt>
                <c:pt idx="39">
                  <c:v>8.1799999999999998E-2</c:v>
                </c:pt>
                <c:pt idx="40">
                  <c:v>6.0499999999999998E-2</c:v>
                </c:pt>
                <c:pt idx="41">
                  <c:v>1.4199999999999999E-2</c:v>
                </c:pt>
                <c:pt idx="42">
                  <c:v>2.3300000000000001E-2</c:v>
                </c:pt>
                <c:pt idx="43">
                  <c:v>2.3300000000000001E-2</c:v>
                </c:pt>
                <c:pt idx="44">
                  <c:v>-1.24E-2</c:v>
                </c:pt>
                <c:pt idx="45">
                  <c:v>6.08E-2</c:v>
                </c:pt>
                <c:pt idx="46">
                  <c:v>1.3500000000000002E-2</c:v>
                </c:pt>
                <c:pt idx="47">
                  <c:v>4.2900000000000001E-2</c:v>
                </c:pt>
                <c:pt idx="48">
                  <c:v>2.1499999999999998E-2</c:v>
                </c:pt>
                <c:pt idx="49">
                  <c:v>1.3999999999999999E-2</c:v>
                </c:pt>
                <c:pt idx="50">
                  <c:v>-1.32E-2</c:v>
                </c:pt>
                <c:pt idx="51">
                  <c:v>-1.8100000000000002E-2</c:v>
                </c:pt>
                <c:pt idx="52">
                  <c:v>1.18E-2</c:v>
                </c:pt>
                <c:pt idx="53">
                  <c:v>1.8500000000000003E-2</c:v>
                </c:pt>
                <c:pt idx="54">
                  <c:v>-4.0399999999999998E-2</c:v>
                </c:pt>
                <c:pt idx="55">
                  <c:v>7.000000000000001E-4</c:v>
                </c:pt>
                <c:pt idx="56">
                  <c:v>1.6E-2</c:v>
                </c:pt>
                <c:pt idx="57">
                  <c:v>1.4199999999999999E-2</c:v>
                </c:pt>
                <c:pt idx="58">
                  <c:v>4.53E-2</c:v>
                </c:pt>
                <c:pt idx="59">
                  <c:v>3.4200000000000001E-2</c:v>
                </c:pt>
                <c:pt idx="60">
                  <c:v>-2.75E-2</c:v>
                </c:pt>
                <c:pt idx="61">
                  <c:v>1.8799999999999997E-2</c:v>
                </c:pt>
                <c:pt idx="62">
                  <c:v>-1.9400000000000001E-2</c:v>
                </c:pt>
                <c:pt idx="63">
                  <c:v>-2.6099999999999998E-2</c:v>
                </c:pt>
                <c:pt idx="64">
                  <c:v>3.6499999999999998E-2</c:v>
                </c:pt>
                <c:pt idx="65">
                  <c:v>5.7999999999999996E-3</c:v>
                </c:pt>
                <c:pt idx="66">
                  <c:v>3.9199999999999999E-2</c:v>
                </c:pt>
                <c:pt idx="67">
                  <c:v>-1.2E-2</c:v>
                </c:pt>
                <c:pt idx="68">
                  <c:v>4.7999999999999996E-3</c:v>
                </c:pt>
                <c:pt idx="69">
                  <c:v>-2.0400000000000001E-2</c:v>
                </c:pt>
                <c:pt idx="70">
                  <c:v>3.61E-2</c:v>
                </c:pt>
                <c:pt idx="71">
                  <c:v>-2.3999999999999998E-3</c:v>
                </c:pt>
                <c:pt idx="72">
                  <c:v>3.0299999999999997E-2</c:v>
                </c:pt>
                <c:pt idx="73">
                  <c:v>-3.0000000000000001E-3</c:v>
                </c:pt>
                <c:pt idx="74">
                  <c:v>1.47E-2</c:v>
                </c:pt>
                <c:pt idx="75">
                  <c:v>7.3000000000000001E-3</c:v>
                </c:pt>
                <c:pt idx="76">
                  <c:v>-3.56E-2</c:v>
                </c:pt>
                <c:pt idx="77">
                  <c:v>-3.4999999999999996E-3</c:v>
                </c:pt>
                <c:pt idx="78">
                  <c:v>-7.7000000000000002E-3</c:v>
                </c:pt>
                <c:pt idx="79">
                  <c:v>2.0299999999999999E-2</c:v>
                </c:pt>
                <c:pt idx="80">
                  <c:v>1.84E-2</c:v>
                </c:pt>
                <c:pt idx="81">
                  <c:v>3.2199999999999999E-2</c:v>
                </c:pt>
                <c:pt idx="82">
                  <c:v>1.7000000000000001E-2</c:v>
                </c:pt>
                <c:pt idx="83">
                  <c:v>8.5000000000000006E-3</c:v>
                </c:pt>
                <c:pt idx="84">
                  <c:v>1.38E-2</c:v>
                </c:pt>
                <c:pt idx="85">
                  <c:v>-1.9599999999999999E-2</c:v>
                </c:pt>
                <c:pt idx="86">
                  <c:v>7.0999999999999995E-3</c:v>
                </c:pt>
                <c:pt idx="87">
                  <c:v>3.49E-2</c:v>
                </c:pt>
                <c:pt idx="88">
                  <c:v>3.2300000000000002E-2</c:v>
                </c:pt>
                <c:pt idx="89">
                  <c:v>-1.9599999999999999E-2</c:v>
                </c:pt>
                <c:pt idx="90">
                  <c:v>-3.7200000000000004E-2</c:v>
                </c:pt>
                <c:pt idx="91">
                  <c:v>9.3999999999999986E-3</c:v>
                </c:pt>
                <c:pt idx="92">
                  <c:v>3.2199999999999999E-2</c:v>
                </c:pt>
                <c:pt idx="93">
                  <c:v>1.7899999999999999E-2</c:v>
                </c:pt>
                <c:pt idx="94">
                  <c:v>-4.8000000000000001E-2</c:v>
                </c:pt>
                <c:pt idx="95">
                  <c:v>-8.6999999999999994E-3</c:v>
                </c:pt>
                <c:pt idx="96">
                  <c:v>-6.3299999999999995E-2</c:v>
                </c:pt>
                <c:pt idx="97">
                  <c:v>-3.0899999999999997E-2</c:v>
                </c:pt>
                <c:pt idx="98">
                  <c:v>-9.3999999999999986E-3</c:v>
                </c:pt>
                <c:pt idx="99">
                  <c:v>4.6100000000000002E-2</c:v>
                </c:pt>
                <c:pt idx="100">
                  <c:v>1.8700000000000001E-2</c:v>
                </c:pt>
                <c:pt idx="101">
                  <c:v>-8.43E-2</c:v>
                </c:pt>
                <c:pt idx="102">
                  <c:v>-7.4999999999999997E-3</c:v>
                </c:pt>
                <c:pt idx="103">
                  <c:v>1.5300000000000001E-2</c:v>
                </c:pt>
                <c:pt idx="104">
                  <c:v>-9.35E-2</c:v>
                </c:pt>
                <c:pt idx="105">
                  <c:v>-0.17199999999999999</c:v>
                </c:pt>
                <c:pt idx="106">
                  <c:v>-7.7399999999999997E-2</c:v>
                </c:pt>
                <c:pt idx="107">
                  <c:v>1.77E-2</c:v>
                </c:pt>
                <c:pt idx="108">
                  <c:v>-8.09E-2</c:v>
                </c:pt>
                <c:pt idx="109">
                  <c:v>-0.1014</c:v>
                </c:pt>
                <c:pt idx="110">
                  <c:v>9.01E-2</c:v>
                </c:pt>
                <c:pt idx="111">
                  <c:v>0.1017</c:v>
                </c:pt>
                <c:pt idx="112">
                  <c:v>5.21E-2</c:v>
                </c:pt>
                <c:pt idx="113">
                  <c:v>4.1999999999999997E-3</c:v>
                </c:pt>
                <c:pt idx="114">
                  <c:v>7.7399999999999997E-2</c:v>
                </c:pt>
                <c:pt idx="115">
                  <c:v>3.3300000000000003E-2</c:v>
                </c:pt>
                <c:pt idx="116">
                  <c:v>4.0800000000000003E-2</c:v>
                </c:pt>
                <c:pt idx="117">
                  <c:v>-2.53E-2</c:v>
                </c:pt>
                <c:pt idx="118">
                  <c:v>5.6299999999999996E-2</c:v>
                </c:pt>
                <c:pt idx="119">
                  <c:v>2.7999999999999997E-2</c:v>
                </c:pt>
                <c:pt idx="120">
                  <c:v>-3.3500000000000002E-2</c:v>
                </c:pt>
                <c:pt idx="121">
                  <c:v>3.39E-2</c:v>
                </c:pt>
                <c:pt idx="122">
                  <c:v>6.3E-2</c:v>
                </c:pt>
                <c:pt idx="123">
                  <c:v>1.9900000000000001E-2</c:v>
                </c:pt>
                <c:pt idx="124">
                  <c:v>-7.9000000000000001E-2</c:v>
                </c:pt>
                <c:pt idx="125">
                  <c:v>-5.5599999999999997E-2</c:v>
                </c:pt>
                <c:pt idx="126">
                  <c:v>6.9199999999999998E-2</c:v>
                </c:pt>
                <c:pt idx="127">
                  <c:v>-4.7800000000000002E-2</c:v>
                </c:pt>
                <c:pt idx="128">
                  <c:v>9.5500000000000002E-2</c:v>
                </c:pt>
                <c:pt idx="129">
                  <c:v>3.8699999999999998E-2</c:v>
                </c:pt>
                <c:pt idx="130">
                  <c:v>5.8999999999999999E-3</c:v>
                </c:pt>
                <c:pt idx="131">
                  <c:v>6.8199999999999997E-2</c:v>
                </c:pt>
                <c:pt idx="132">
                  <c:v>1.9799999999999998E-2</c:v>
                </c:pt>
                <c:pt idx="133">
                  <c:v>3.4799999999999998E-2</c:v>
                </c:pt>
                <c:pt idx="134">
                  <c:v>4.5000000000000005E-3</c:v>
                </c:pt>
                <c:pt idx="135">
                  <c:v>2.8999999999999998E-2</c:v>
                </c:pt>
                <c:pt idx="136">
                  <c:v>-1.2699999999999999E-2</c:v>
                </c:pt>
                <c:pt idx="137">
                  <c:v>-1.7399999999999999E-2</c:v>
                </c:pt>
                <c:pt idx="138">
                  <c:v>-2.35E-2</c:v>
                </c:pt>
                <c:pt idx="139">
                  <c:v>-5.96E-2</c:v>
                </c:pt>
                <c:pt idx="140">
                  <c:v>-7.5800000000000006E-2</c:v>
                </c:pt>
                <c:pt idx="141">
                  <c:v>0.1133</c:v>
                </c:pt>
                <c:pt idx="142">
                  <c:v>-2.7000000000000001E-3</c:v>
                </c:pt>
                <c:pt idx="143">
                  <c:v>7.4999999999999997E-3</c:v>
                </c:pt>
                <c:pt idx="144">
                  <c:v>5.0499999999999996E-2</c:v>
                </c:pt>
                <c:pt idx="145">
                  <c:v>4.4199999999999996E-2</c:v>
                </c:pt>
                <c:pt idx="146">
                  <c:v>3.1200000000000002E-2</c:v>
                </c:pt>
                <c:pt idx="147">
                  <c:v>-8.5000000000000006E-3</c:v>
                </c:pt>
                <c:pt idx="148">
                  <c:v>-6.1699999999999998E-2</c:v>
                </c:pt>
                <c:pt idx="149">
                  <c:v>3.8900000000000004E-2</c:v>
                </c:pt>
                <c:pt idx="150">
                  <c:v>7.9000000000000008E-3</c:v>
                </c:pt>
                <c:pt idx="151">
                  <c:v>2.5399999999999999E-2</c:v>
                </c:pt>
                <c:pt idx="152">
                  <c:v>2.7300000000000001E-2</c:v>
                </c:pt>
                <c:pt idx="153">
                  <c:v>-1.7600000000000001E-2</c:v>
                </c:pt>
                <c:pt idx="154">
                  <c:v>7.8000000000000005E-3</c:v>
                </c:pt>
                <c:pt idx="155">
                  <c:v>1.18E-2</c:v>
                </c:pt>
                <c:pt idx="156">
                  <c:v>5.57E-2</c:v>
                </c:pt>
                <c:pt idx="157">
                  <c:v>1.2800000000000001E-2</c:v>
                </c:pt>
                <c:pt idx="158">
                  <c:v>4.0399999999999998E-2</c:v>
                </c:pt>
                <c:pt idx="159">
                  <c:v>1.5600000000000001E-2</c:v>
                </c:pt>
                <c:pt idx="160">
                  <c:v>2.7999999999999997E-2</c:v>
                </c:pt>
                <c:pt idx="161">
                  <c:v>-1.2E-2</c:v>
                </c:pt>
                <c:pt idx="162">
                  <c:v>5.6500000000000002E-2</c:v>
                </c:pt>
                <c:pt idx="163">
                  <c:v>-2.7099999999999999E-2</c:v>
                </c:pt>
                <c:pt idx="164">
                  <c:v>3.7699999999999997E-2</c:v>
                </c:pt>
                <c:pt idx="165">
                  <c:v>4.1700000000000001E-2</c:v>
                </c:pt>
                <c:pt idx="166">
                  <c:v>3.1099999999999999E-2</c:v>
                </c:pt>
                <c:pt idx="167">
                  <c:v>2.81E-2</c:v>
                </c:pt>
                <c:pt idx="168">
                  <c:v>-3.32E-2</c:v>
                </c:pt>
                <c:pt idx="169">
                  <c:v>4.6600000000000003E-2</c:v>
                </c:pt>
                <c:pt idx="170">
                  <c:v>4.3E-3</c:v>
                </c:pt>
                <c:pt idx="171">
                  <c:v>-1.8E-3</c:v>
                </c:pt>
                <c:pt idx="172">
                  <c:v>2.0499999999999997E-2</c:v>
                </c:pt>
                <c:pt idx="173">
                  <c:v>2.6000000000000002E-2</c:v>
                </c:pt>
                <c:pt idx="174">
                  <c:v>-2.0299999999999999E-2</c:v>
                </c:pt>
                <c:pt idx="175">
                  <c:v>4.24E-2</c:v>
                </c:pt>
                <c:pt idx="176">
                  <c:v>-1.9599999999999999E-2</c:v>
                </c:pt>
                <c:pt idx="177">
                  <c:v>2.5099999999999997E-2</c:v>
                </c:pt>
                <c:pt idx="178">
                  <c:v>2.5600000000000001E-2</c:v>
                </c:pt>
                <c:pt idx="179">
                  <c:v>-5.0000000000000001E-4</c:v>
                </c:pt>
                <c:pt idx="180">
                  <c:v>-3.1E-2</c:v>
                </c:pt>
                <c:pt idx="181">
                  <c:v>6.13E-2</c:v>
                </c:pt>
                <c:pt idx="182">
                  <c:v>-1.11E-2</c:v>
                </c:pt>
                <c:pt idx="183">
                  <c:v>5.8999999999999999E-3</c:v>
                </c:pt>
                <c:pt idx="184">
                  <c:v>1.37E-2</c:v>
                </c:pt>
                <c:pt idx="185">
                  <c:v>-1.52E-2</c:v>
                </c:pt>
                <c:pt idx="186">
                  <c:v>1.5700000000000002E-2</c:v>
                </c:pt>
                <c:pt idx="187">
                  <c:v>-6.0199999999999997E-2</c:v>
                </c:pt>
                <c:pt idx="188">
                  <c:v>-3.0600000000000002E-2</c:v>
                </c:pt>
                <c:pt idx="189">
                  <c:v>7.7499999999999999E-2</c:v>
                </c:pt>
                <c:pt idx="190">
                  <c:v>5.6999999999999993E-3</c:v>
                </c:pt>
                <c:pt idx="191">
                  <c:v>-2.1499999999999998E-2</c:v>
                </c:pt>
                <c:pt idx="192">
                  <c:v>-5.74E-2</c:v>
                </c:pt>
                <c:pt idx="193">
                  <c:v>-5.9999999999999995E-4</c:v>
                </c:pt>
                <c:pt idx="194">
                  <c:v>6.9500000000000006E-2</c:v>
                </c:pt>
                <c:pt idx="195">
                  <c:v>9.1999999999999998E-3</c:v>
                </c:pt>
                <c:pt idx="196">
                  <c:v>1.78E-2</c:v>
                </c:pt>
                <c:pt idx="197">
                  <c:v>-2.9999999999999997E-4</c:v>
                </c:pt>
                <c:pt idx="198">
                  <c:v>3.9399999999999998E-2</c:v>
                </c:pt>
                <c:pt idx="199">
                  <c:v>4.8999999999999998E-3</c:v>
                </c:pt>
                <c:pt idx="200">
                  <c:v>2.7000000000000001E-3</c:v>
                </c:pt>
                <c:pt idx="201">
                  <c:v>-2.0099999999999996E-2</c:v>
                </c:pt>
                <c:pt idx="202">
                  <c:v>4.8600000000000004E-2</c:v>
                </c:pt>
                <c:pt idx="203">
                  <c:v>1.8100000000000002E-2</c:v>
                </c:pt>
                <c:pt idx="204">
                  <c:v>1.9400000000000001E-2</c:v>
                </c:pt>
                <c:pt idx="205">
                  <c:v>3.5499999999999997E-2</c:v>
                </c:pt>
                <c:pt idx="206">
                  <c:v>1.7000000000000001E-3</c:v>
                </c:pt>
                <c:pt idx="207">
                  <c:v>1.0800000000000001E-2</c:v>
                </c:pt>
                <c:pt idx="208">
                  <c:v>1.0700000000000001E-2</c:v>
                </c:pt>
                <c:pt idx="209">
                  <c:v>7.9000000000000008E-3</c:v>
                </c:pt>
                <c:pt idx="210">
                  <c:v>1.8799999999999997E-2</c:v>
                </c:pt>
                <c:pt idx="211">
                  <c:v>1.8E-3</c:v>
                </c:pt>
                <c:pt idx="212">
                  <c:v>2.4900000000000002E-2</c:v>
                </c:pt>
                <c:pt idx="213">
                  <c:v>2.2599999999999999E-2</c:v>
                </c:pt>
                <c:pt idx="214">
                  <c:v>3.1200000000000002E-2</c:v>
                </c:pt>
                <c:pt idx="215">
                  <c:v>1.06E-2</c:v>
                </c:pt>
                <c:pt idx="216">
                  <c:v>5.5800000000000002E-2</c:v>
                </c:pt>
                <c:pt idx="217">
                  <c:v>-3.6400000000000002E-2</c:v>
                </c:pt>
                <c:pt idx="218">
                  <c:v>-2.35E-2</c:v>
                </c:pt>
                <c:pt idx="219">
                  <c:v>2.7000000000000001E-3</c:v>
                </c:pt>
                <c:pt idx="220">
                  <c:v>2.6600000000000002E-2</c:v>
                </c:pt>
                <c:pt idx="221">
                  <c:v>4.8999999999999998E-3</c:v>
                </c:pt>
                <c:pt idx="222">
                  <c:v>3.2000000000000001E-2</c:v>
                </c:pt>
                <c:pt idx="223">
                  <c:v>3.4500000000000003E-2</c:v>
                </c:pt>
                <c:pt idx="224">
                  <c:v>5.9999999999999995E-4</c:v>
                </c:pt>
                <c:pt idx="225">
                  <c:v>-7.6499999999999999E-2</c:v>
                </c:pt>
                <c:pt idx="226">
                  <c:v>1.7100000000000001E-2</c:v>
                </c:pt>
                <c:pt idx="227">
                  <c:v>-9.5500000000000002E-2</c:v>
                </c:pt>
                <c:pt idx="228">
                  <c:v>8.3699999999999997E-2</c:v>
                </c:pt>
                <c:pt idx="229">
                  <c:v>3.4200000000000001E-2</c:v>
                </c:pt>
                <c:pt idx="230">
                  <c:v>1.1000000000000001E-2</c:v>
                </c:pt>
                <c:pt idx="231">
                  <c:v>3.9699999999999999E-2</c:v>
                </c:pt>
                <c:pt idx="232">
                  <c:v>-6.9199999999999998E-2</c:v>
                </c:pt>
                <c:pt idx="233">
                  <c:v>6.9900000000000004E-2</c:v>
                </c:pt>
                <c:pt idx="234">
                  <c:v>1.23E-2</c:v>
                </c:pt>
                <c:pt idx="235">
                  <c:v>-2.5499999999999998E-2</c:v>
                </c:pt>
                <c:pt idx="236">
                  <c:v>1.41E-2</c:v>
                </c:pt>
                <c:pt idx="237">
                  <c:v>2.07E-2</c:v>
                </c:pt>
                <c:pt idx="238">
                  <c:v>3.8699999999999998E-2</c:v>
                </c:pt>
                <c:pt idx="239">
                  <c:v>2.7699999999999999E-2</c:v>
                </c:pt>
                <c:pt idx="240">
                  <c:v>-1.1000000000000001E-3</c:v>
                </c:pt>
                <c:pt idx="241">
                  <c:v>-8.1500000000000003E-2</c:v>
                </c:pt>
                <c:pt idx="242">
                  <c:v>-0.13369999999999999</c:v>
                </c:pt>
                <c:pt idx="243">
                  <c:v>0.13600000000000001</c:v>
                </c:pt>
                <c:pt idx="244">
                  <c:v>5.57E-2</c:v>
                </c:pt>
                <c:pt idx="245">
                  <c:v>2.4500000000000001E-2</c:v>
                </c:pt>
                <c:pt idx="246">
                  <c:v>5.8299999999999998E-2</c:v>
                </c:pt>
                <c:pt idx="247">
                  <c:v>7.6200000000000004E-2</c:v>
                </c:pt>
                <c:pt idx="248">
                  <c:v>-3.6400000000000002E-2</c:v>
                </c:pt>
                <c:pt idx="249">
                  <c:v>-2.0799999999999999E-2</c:v>
                </c:pt>
                <c:pt idx="250">
                  <c:v>0.1245</c:v>
                </c:pt>
                <c:pt idx="251">
                  <c:v>4.6300000000000001E-2</c:v>
                </c:pt>
                <c:pt idx="252">
                  <c:v>-7.000000000000001E-4</c:v>
                </c:pt>
                <c:pt idx="253">
                  <c:v>2.81E-2</c:v>
                </c:pt>
                <c:pt idx="254">
                  <c:v>3.1600000000000003E-2</c:v>
                </c:pt>
                <c:pt idx="255">
                  <c:v>4.9500000000000002E-2</c:v>
                </c:pt>
                <c:pt idx="256">
                  <c:v>3.0000000000000001E-3</c:v>
                </c:pt>
                <c:pt idx="257">
                  <c:v>2.7400000000000001E-2</c:v>
                </c:pt>
                <c:pt idx="258">
                  <c:v>1.34E-2</c:v>
                </c:pt>
                <c:pt idx="259">
                  <c:v>2.9399999999999999E-2</c:v>
                </c:pt>
                <c:pt idx="260">
                  <c:v>-4.4000000000000004E-2</c:v>
                </c:pt>
                <c:pt idx="261">
                  <c:v>6.6299999999999998E-2</c:v>
                </c:pt>
                <c:pt idx="262">
                  <c:v>-1.5800000000000002E-2</c:v>
                </c:pt>
                <c:pt idx="263">
                  <c:v>3.2300000000000002E-2</c:v>
                </c:pt>
                <c:pt idx="264">
                  <c:v>-6.1600000000000002E-2</c:v>
                </c:pt>
                <c:pt idx="265">
                  <c:v>-2.2799999999999997E-2</c:v>
                </c:pt>
                <c:pt idx="266">
                  <c:v>3.0800000000000001E-2</c:v>
                </c:pt>
                <c:pt idx="267">
                  <c:v>-9.4100000000000003E-2</c:v>
                </c:pt>
                <c:pt idx="268">
                  <c:v>-3.4000000000000002E-3</c:v>
                </c:pt>
                <c:pt idx="269">
                  <c:v>-8.4000000000000005E-2</c:v>
                </c:pt>
                <c:pt idx="270">
                  <c:v>9.5700000000000007E-2</c:v>
                </c:pt>
                <c:pt idx="271">
                  <c:v>-3.7699999999999997E-2</c:v>
                </c:pt>
                <c:pt idx="272">
                  <c:v>-9.3399999999999997E-2</c:v>
                </c:pt>
                <c:pt idx="273">
                  <c:v>7.85E-2</c:v>
                </c:pt>
                <c:pt idx="274">
                  <c:v>4.6500000000000007E-2</c:v>
                </c:pt>
                <c:pt idx="275">
                  <c:v>-6.3799999999999996E-2</c:v>
                </c:pt>
                <c:pt idx="276">
                  <c:v>6.6100000000000006E-2</c:v>
                </c:pt>
                <c:pt idx="277">
                  <c:v>-2.5699999999999997E-2</c:v>
                </c:pt>
                <c:pt idx="278">
                  <c:v>2.4799999999999999E-2</c:v>
                </c:pt>
                <c:pt idx="279">
                  <c:v>6.1999999999999998E-3</c:v>
                </c:pt>
                <c:pt idx="280">
                  <c:v>3.4000000000000002E-3</c:v>
                </c:pt>
                <c:pt idx="281">
                  <c:v>6.4600000000000005E-2</c:v>
                </c:pt>
                <c:pt idx="282">
                  <c:v>3.2099999999999997E-2</c:v>
                </c:pt>
                <c:pt idx="283">
                  <c:v>-2.3599999999999999E-2</c:v>
                </c:pt>
                <c:pt idx="284">
                  <c:v>-5.2300000000000006E-2</c:v>
                </c:pt>
                <c:pt idx="285">
                  <c:v>-3.15E-2</c:v>
                </c:pt>
                <c:pt idx="286">
                  <c:v>8.8800000000000004E-2</c:v>
                </c:pt>
                <c:pt idx="287">
                  <c:v>4.8499999999999995E-2</c:v>
                </c:pt>
                <c:pt idx="288">
                  <c:v>7.3000000000000001E-3</c:v>
                </c:pt>
                <c:pt idx="289">
                  <c:v>5.0700000000000002E-2</c:v>
                </c:pt>
                <c:pt idx="290">
                  <c:v>2.8399999999999998E-2</c:v>
                </c:pt>
                <c:pt idx="291">
                  <c:v>-4.6500000000000007E-2</c:v>
                </c:pt>
                <c:pt idx="292">
                  <c:v>4.3299999999999998E-2</c:v>
                </c:pt>
                <c:pt idx="293">
                  <c:v>2.7999999999999997E-2</c:v>
                </c:pt>
                <c:pt idx="294">
                  <c:v>1.2199999999999999E-2</c:v>
                </c:pt>
                <c:pt idx="295">
                  <c:v>1.6E-2</c:v>
                </c:pt>
                <c:pt idx="296">
                  <c:v>1.72E-2</c:v>
                </c:pt>
                <c:pt idx="297">
                  <c:v>-0.01</c:v>
                </c:pt>
                <c:pt idx="298">
                  <c:v>6.4899999999999999E-2</c:v>
                </c:pt>
                <c:pt idx="299">
                  <c:v>-3.1699999999999999E-2</c:v>
                </c:pt>
              </c:numCache>
            </c:numRef>
          </c:xVal>
          <c:yVal>
            <c:numRef>
              <c:f>data!$F$2:$F$301</c:f>
              <c:numCache>
                <c:formatCode>General</c:formatCode>
                <c:ptCount val="300"/>
                <c:pt idx="0">
                  <c:v>5.0185411438345914E-3</c:v>
                </c:pt>
                <c:pt idx="1">
                  <c:v>0.10051927543878555</c:v>
                </c:pt>
                <c:pt idx="2">
                  <c:v>0.18014187126159667</c:v>
                </c:pt>
                <c:pt idx="3">
                  <c:v>-9.1116335606575005E-2</c:v>
                </c:pt>
                <c:pt idx="4">
                  <c:v>-0.32792190194129944</c:v>
                </c:pt>
                <c:pt idx="5">
                  <c:v>0.243023805975914</c:v>
                </c:pt>
                <c:pt idx="6">
                  <c:v>-3.4632934960722922E-2</c:v>
                </c:pt>
                <c:pt idx="7">
                  <c:v>0.19426199316978454</c:v>
                </c:pt>
                <c:pt idx="8">
                  <c:v>-0.5825359107017517</c:v>
                </c:pt>
                <c:pt idx="9">
                  <c:v>-0.2458912676334381</c:v>
                </c:pt>
                <c:pt idx="10">
                  <c:v>-0.16164951333999633</c:v>
                </c:pt>
                <c:pt idx="11">
                  <c:v>-0.10348485141992569</c:v>
                </c:pt>
                <c:pt idx="12">
                  <c:v>0.44838151535987852</c:v>
                </c:pt>
                <c:pt idx="13">
                  <c:v>-0.15986936812400818</c:v>
                </c:pt>
                <c:pt idx="14">
                  <c:v>0.20511504666805266</c:v>
                </c:pt>
                <c:pt idx="15">
                  <c:v>0.15106149659156801</c:v>
                </c:pt>
                <c:pt idx="16">
                  <c:v>-0.22054009683132172</c:v>
                </c:pt>
                <c:pt idx="17">
                  <c:v>0.16261348397731781</c:v>
                </c:pt>
                <c:pt idx="18">
                  <c:v>-0.1948279230594635</c:v>
                </c:pt>
                <c:pt idx="19">
                  <c:v>-1.5872840447723864E-2</c:v>
                </c:pt>
                <c:pt idx="20">
                  <c:v>-0.16668136148452758</c:v>
                </c:pt>
                <c:pt idx="21">
                  <c:v>0.12997273354530334</c:v>
                </c:pt>
                <c:pt idx="22">
                  <c:v>0.21128405528068542</c:v>
                </c:pt>
                <c:pt idx="23">
                  <c:v>2.6669032186269759E-2</c:v>
                </c:pt>
                <c:pt idx="24">
                  <c:v>0.12736711785793303</c:v>
                </c:pt>
                <c:pt idx="25">
                  <c:v>-0.12346822803020477</c:v>
                </c:pt>
                <c:pt idx="26">
                  <c:v>8.9483372521400456E-2</c:v>
                </c:pt>
                <c:pt idx="27">
                  <c:v>2.3848559021949767E-2</c:v>
                </c:pt>
                <c:pt idx="28">
                  <c:v>-4.1367086166143416E-2</c:v>
                </c:pt>
                <c:pt idx="29">
                  <c:v>-0.2407849807024002</c:v>
                </c:pt>
                <c:pt idx="30">
                  <c:v>-0.14032613182067871</c:v>
                </c:pt>
                <c:pt idx="31">
                  <c:v>-3.4820722931623457E-2</c:v>
                </c:pt>
                <c:pt idx="32">
                  <c:v>-1.8349152573943137E-2</c:v>
                </c:pt>
                <c:pt idx="33">
                  <c:v>0.10687583819627762</c:v>
                </c:pt>
                <c:pt idx="34">
                  <c:v>-3.6669800233840942E-2</c:v>
                </c:pt>
                <c:pt idx="35">
                  <c:v>-7.6583873486518864E-2</c:v>
                </c:pt>
                <c:pt idx="36">
                  <c:v>1.0934916101396084E-3</c:v>
                </c:pt>
                <c:pt idx="37">
                  <c:v>4.4364665037393572E-2</c:v>
                </c:pt>
                <c:pt idx="38">
                  <c:v>-5.8961352169513703E-2</c:v>
                </c:pt>
                <c:pt idx="39">
                  <c:v>4.6577031500637531E-3</c:v>
                </c:pt>
                <c:pt idx="40">
                  <c:v>0.26140663061141967</c:v>
                </c:pt>
                <c:pt idx="41">
                  <c:v>6.0838366091251372E-2</c:v>
                </c:pt>
                <c:pt idx="42">
                  <c:v>0.10528114132881164</c:v>
                </c:pt>
                <c:pt idx="43">
                  <c:v>7.1880680251121515E-2</c:v>
                </c:pt>
                <c:pt idx="44">
                  <c:v>-8.4391386675834651E-2</c:v>
                </c:pt>
                <c:pt idx="45">
                  <c:v>0.10402973436117172</c:v>
                </c:pt>
                <c:pt idx="46">
                  <c:v>-8.72006372332573E-2</c:v>
                </c:pt>
                <c:pt idx="47">
                  <c:v>2.1199090909957887E-2</c:v>
                </c:pt>
                <c:pt idx="48">
                  <c:v>5.498547546863556E-2</c:v>
                </c:pt>
                <c:pt idx="49">
                  <c:v>5.9683716768026349E-2</c:v>
                </c:pt>
                <c:pt idx="50">
                  <c:v>0.12953481111526488</c:v>
                </c:pt>
                <c:pt idx="51">
                  <c:v>-4.7397640961408617E-2</c:v>
                </c:pt>
                <c:pt idx="52">
                  <c:v>8.7840604507923123E-2</c:v>
                </c:pt>
                <c:pt idx="53">
                  <c:v>0.15885792536735535</c:v>
                </c:pt>
                <c:pt idx="54">
                  <c:v>-7.1463047750294209E-3</c:v>
                </c:pt>
                <c:pt idx="55">
                  <c:v>6.5381187939643856E-2</c:v>
                </c:pt>
                <c:pt idx="56">
                  <c:v>0.12241400405168533</c:v>
                </c:pt>
                <c:pt idx="57">
                  <c:v>0.35115811600685121</c:v>
                </c:pt>
                <c:pt idx="58">
                  <c:v>0.27808017587661743</c:v>
                </c:pt>
                <c:pt idx="59">
                  <c:v>-4.1122763341665265E-2</c:v>
                </c:pt>
                <c:pt idx="60">
                  <c:v>0.19249938156604768</c:v>
                </c:pt>
                <c:pt idx="61">
                  <c:v>0.16511000421047212</c:v>
                </c:pt>
                <c:pt idx="62">
                  <c:v>-7.3210174059867864E-2</c:v>
                </c:pt>
                <c:pt idx="63">
                  <c:v>-0.13672916016578673</c:v>
                </c:pt>
                <c:pt idx="64">
                  <c:v>0.10018731991052628</c:v>
                </c:pt>
                <c:pt idx="65">
                  <c:v>-7.6478844690322872E-2</c:v>
                </c:pt>
                <c:pt idx="66">
                  <c:v>0.15625254402160643</c:v>
                </c:pt>
                <c:pt idx="67">
                  <c:v>9.6413782358169553E-2</c:v>
                </c:pt>
                <c:pt idx="68">
                  <c:v>0.14041416785717009</c:v>
                </c:pt>
                <c:pt idx="69">
                  <c:v>7.1539872395992285E-2</c:v>
                </c:pt>
                <c:pt idx="70">
                  <c:v>0.17453499915599824</c:v>
                </c:pt>
                <c:pt idx="71">
                  <c:v>5.6811792927980422E-2</c:v>
                </c:pt>
                <c:pt idx="72">
                  <c:v>4.6854748964309689E-2</c:v>
                </c:pt>
                <c:pt idx="73">
                  <c:v>-9.6367875301837921E-2</c:v>
                </c:pt>
                <c:pt idx="74">
                  <c:v>-8.7945830774307246E-2</c:v>
                </c:pt>
                <c:pt idx="75">
                  <c:v>0.11868950858116149</c:v>
                </c:pt>
                <c:pt idx="76">
                  <c:v>-0.15517369084358215</c:v>
                </c:pt>
                <c:pt idx="77">
                  <c:v>-4.5827004402875904E-2</c:v>
                </c:pt>
                <c:pt idx="78">
                  <c:v>0.18265966391563415</c:v>
                </c:pt>
                <c:pt idx="79">
                  <c:v>-5.8186081338673827E-3</c:v>
                </c:pt>
                <c:pt idx="80">
                  <c:v>0.13046161320209504</c:v>
                </c:pt>
                <c:pt idx="81">
                  <c:v>4.9160564804077149E-2</c:v>
                </c:pt>
                <c:pt idx="82">
                  <c:v>0.12628842549324035</c:v>
                </c:pt>
                <c:pt idx="83">
                  <c:v>-7.8405491352081302E-2</c:v>
                </c:pt>
                <c:pt idx="84">
                  <c:v>6.0904174804687497E-3</c:v>
                </c:pt>
                <c:pt idx="85">
                  <c:v>-1.6864303435385228E-2</c:v>
                </c:pt>
                <c:pt idx="86">
                  <c:v>9.3797190260887148E-2</c:v>
                </c:pt>
                <c:pt idx="87">
                  <c:v>6.9757774448394774E-2</c:v>
                </c:pt>
                <c:pt idx="88">
                  <c:v>0.21023866024017335</c:v>
                </c:pt>
                <c:pt idx="89">
                  <c:v>3.005462422966957E-3</c:v>
                </c:pt>
                <c:pt idx="90">
                  <c:v>7.5645961523056027E-2</c:v>
                </c:pt>
                <c:pt idx="91">
                  <c:v>4.6801831889152525E-2</c:v>
                </c:pt>
                <c:pt idx="92">
                  <c:v>0.10504672132730485</c:v>
                </c:pt>
                <c:pt idx="93">
                  <c:v>0.2345011477947235</c:v>
                </c:pt>
                <c:pt idx="94">
                  <c:v>-4.4094896131753922E-2</c:v>
                </c:pt>
                <c:pt idx="95">
                  <c:v>8.4337652730941778E-2</c:v>
                </c:pt>
                <c:pt idx="96">
                  <c:v>-0.31873975119590758</c:v>
                </c:pt>
                <c:pt idx="97">
                  <c:v>-7.7688917863368984E-2</c:v>
                </c:pt>
                <c:pt idx="98">
                  <c:v>0.14611637489795684</c:v>
                </c:pt>
                <c:pt idx="99">
                  <c:v>0.21039509840011597</c:v>
                </c:pt>
                <c:pt idx="100">
                  <c:v>8.3281942379474644E-2</c:v>
                </c:pt>
                <c:pt idx="101">
                  <c:v>-0.11460065199136735</c:v>
                </c:pt>
                <c:pt idx="102">
                  <c:v>-5.2204762339591981E-2</c:v>
                </c:pt>
                <c:pt idx="103">
                  <c:v>6.5261825573444371E-2</c:v>
                </c:pt>
                <c:pt idx="104">
                  <c:v>-0.33105816388130188</c:v>
                </c:pt>
                <c:pt idx="105">
                  <c:v>-5.4204953330755236E-2</c:v>
                </c:pt>
                <c:pt idx="106">
                  <c:v>-0.13897458701133727</c:v>
                </c:pt>
                <c:pt idx="107">
                  <c:v>-7.8989960253238678E-2</c:v>
                </c:pt>
                <c:pt idx="108">
                  <c:v>5.600467324256897E-2</c:v>
                </c:pt>
                <c:pt idx="109">
                  <c:v>-9.1979663655161852E-3</c:v>
                </c:pt>
                <c:pt idx="110">
                  <c:v>0.17682391743659973</c:v>
                </c:pt>
                <c:pt idx="111">
                  <c:v>0.19691293110847474</c:v>
                </c:pt>
                <c:pt idx="112">
                  <c:v>7.9313322901725769E-2</c:v>
                </c:pt>
                <c:pt idx="113">
                  <c:v>4.864453321099281E-2</c:v>
                </c:pt>
                <c:pt idx="114">
                  <c:v>0.14706006815433503</c:v>
                </c:pt>
                <c:pt idx="115">
                  <c:v>2.9400015079975129E-2</c:v>
                </c:pt>
                <c:pt idx="116">
                  <c:v>0.10179642757177353</c:v>
                </c:pt>
                <c:pt idx="117">
                  <c:v>1.6994841396808624E-2</c:v>
                </c:pt>
                <c:pt idx="118">
                  <c:v>6.0530524700880051E-2</c:v>
                </c:pt>
                <c:pt idx="119">
                  <c:v>5.4034313017129895E-2</c:v>
                </c:pt>
                <c:pt idx="120">
                  <c:v>-8.8591158390045166E-2</c:v>
                </c:pt>
                <c:pt idx="121">
                  <c:v>6.5379545092582703E-2</c:v>
                </c:pt>
                <c:pt idx="122">
                  <c:v>0.14837035706043245</c:v>
                </c:pt>
                <c:pt idx="123">
                  <c:v>0.1109212579369545</c:v>
                </c:pt>
                <c:pt idx="124">
                  <c:v>-1.6224675050377845E-2</c:v>
                </c:pt>
                <c:pt idx="125">
                  <c:v>-2.0926868712902068E-2</c:v>
                </c:pt>
                <c:pt idx="126">
                  <c:v>2.2640831598639489E-2</c:v>
                </c:pt>
                <c:pt idx="127">
                  <c:v>-5.5104835128784183E-2</c:v>
                </c:pt>
                <c:pt idx="128">
                  <c:v>0.16711510887145997</c:v>
                </c:pt>
                <c:pt idx="129">
                  <c:v>6.0622507536411283E-2</c:v>
                </c:pt>
                <c:pt idx="130">
                  <c:v>3.368956392407417E-2</c:v>
                </c:pt>
                <c:pt idx="131">
                  <c:v>3.6570427769422528E-2</c:v>
                </c:pt>
                <c:pt idx="132">
                  <c:v>5.1859354430437085E-2</c:v>
                </c:pt>
                <c:pt idx="133">
                  <c:v>4.0834763848781583E-2</c:v>
                </c:pt>
                <c:pt idx="134">
                  <c:v>-1.3413564471900462E-2</c:v>
                </c:pt>
                <c:pt idx="135">
                  <c:v>4.6555600129067898E-3</c:v>
                </c:pt>
                <c:pt idx="136">
                  <c:v>-6.5690409392118454E-3</c:v>
                </c:pt>
                <c:pt idx="137">
                  <c:v>-3.495953232049942E-2</c:v>
                </c:pt>
                <c:pt idx="138">
                  <c:v>0.16328535974025726</c:v>
                </c:pt>
                <c:pt idx="139">
                  <c:v>-1.4569433575868606E-2</c:v>
                </c:pt>
                <c:pt idx="140">
                  <c:v>-9.1208573430776596E-3</c:v>
                </c:pt>
                <c:pt idx="141">
                  <c:v>6.1523105949163437E-2</c:v>
                </c:pt>
                <c:pt idx="142">
                  <c:v>-5.5783353745937347E-2</c:v>
                </c:pt>
                <c:pt idx="143">
                  <c:v>5.9654597193002701E-2</c:v>
                </c:pt>
                <c:pt idx="144">
                  <c:v>0.12711113691329956</c:v>
                </c:pt>
                <c:pt idx="145">
                  <c:v>0.18831053376197815</c:v>
                </c:pt>
                <c:pt idx="146">
                  <c:v>0.10528350621461868</c:v>
                </c:pt>
                <c:pt idx="147">
                  <c:v>-2.59694904088974E-2</c:v>
                </c:pt>
                <c:pt idx="148">
                  <c:v>-1.0802421888709068E-2</c:v>
                </c:pt>
                <c:pt idx="149">
                  <c:v>1.0852854698896408E-2</c:v>
                </c:pt>
                <c:pt idx="150">
                  <c:v>4.5821934938430786E-2</c:v>
                </c:pt>
                <c:pt idx="151">
                  <c:v>9.3439163470268247E-2</c:v>
                </c:pt>
                <c:pt idx="152">
                  <c:v>2.7034849092364313E-3</c:v>
                </c:pt>
                <c:pt idx="153">
                  <c:v>-0.10770670900344849</c:v>
                </c:pt>
                <c:pt idx="154">
                  <c:v>-1.2513454242050647E-2</c:v>
                </c:pt>
                <c:pt idx="155">
                  <c:v>-9.0837961232662204E-2</c:v>
                </c:pt>
                <c:pt idx="156">
                  <c:v>-0.14409399032592773</c:v>
                </c:pt>
                <c:pt idx="157">
                  <c:v>-2.5115801021456718E-2</c:v>
                </c:pt>
                <c:pt idx="158">
                  <c:v>2.8545758686959743E-3</c:v>
                </c:pt>
                <c:pt idx="159">
                  <c:v>2.7107738424092531E-4</c:v>
                </c:pt>
                <c:pt idx="160">
                  <c:v>2.2595841437578201E-2</c:v>
                </c:pt>
                <c:pt idx="161">
                  <c:v>-0.11830297112464905</c:v>
                </c:pt>
                <c:pt idx="162">
                  <c:v>0.14122512936592102</c:v>
                </c:pt>
                <c:pt idx="163">
                  <c:v>8.3388954401016235E-2</c:v>
                </c:pt>
                <c:pt idx="164">
                  <c:v>-2.1481238305568695E-2</c:v>
                </c:pt>
                <c:pt idx="165">
                  <c:v>9.6386000514030457E-2</c:v>
                </c:pt>
                <c:pt idx="166">
                  <c:v>6.9672547280788422E-2</c:v>
                </c:pt>
                <c:pt idx="167">
                  <c:v>8.9017786085605621E-3</c:v>
                </c:pt>
                <c:pt idx="168">
                  <c:v>-0.10769671201705933</c:v>
                </c:pt>
                <c:pt idx="169">
                  <c:v>5.7311195880174637E-2</c:v>
                </c:pt>
                <c:pt idx="170">
                  <c:v>1.9952872768044472E-2</c:v>
                </c:pt>
                <c:pt idx="171">
                  <c:v>9.9396422505378723E-2</c:v>
                </c:pt>
                <c:pt idx="172">
                  <c:v>7.8293092548847198E-2</c:v>
                </c:pt>
                <c:pt idx="173">
                  <c:v>2.7661930769681931E-2</c:v>
                </c:pt>
                <c:pt idx="174">
                  <c:v>2.873128280043602E-2</c:v>
                </c:pt>
                <c:pt idx="175">
                  <c:v>7.7092066407203674E-2</c:v>
                </c:pt>
                <c:pt idx="176">
                  <c:v>-1.7073171213269234E-2</c:v>
                </c:pt>
                <c:pt idx="177">
                  <c:v>7.1960300207138062E-2</c:v>
                </c:pt>
                <c:pt idx="178">
                  <c:v>0.10555555671453476</c:v>
                </c:pt>
                <c:pt idx="179">
                  <c:v>-7.1891054511070251E-2</c:v>
                </c:pt>
                <c:pt idx="180">
                  <c:v>6.1424229294061661E-2</c:v>
                </c:pt>
                <c:pt idx="181">
                  <c:v>0.10046093165874481</c:v>
                </c:pt>
                <c:pt idx="182">
                  <c:v>-3.137168288230896E-2</c:v>
                </c:pt>
                <c:pt idx="183">
                  <c:v>5.7863956317305565E-3</c:v>
                </c:pt>
                <c:pt idx="184">
                  <c:v>4.5145802199840546E-2</c:v>
                </c:pt>
                <c:pt idx="185">
                  <c:v>-3.7265855818986893E-2</c:v>
                </c:pt>
                <c:pt idx="186">
                  <c:v>-3.2888177782297134E-2</c:v>
                </c:pt>
                <c:pt idx="187">
                  <c:v>-6.6117070615291595E-2</c:v>
                </c:pt>
                <c:pt idx="188">
                  <c:v>-2.1816238760948181E-2</c:v>
                </c:pt>
                <c:pt idx="189">
                  <c:v>8.3408854901790619E-2</c:v>
                </c:pt>
                <c:pt idx="190">
                  <c:v>-5.690351128578186E-3</c:v>
                </c:pt>
                <c:pt idx="191">
                  <c:v>-0.11032824048995972</c:v>
                </c:pt>
                <c:pt idx="192">
                  <c:v>-7.5342310762405398E-2</c:v>
                </c:pt>
                <c:pt idx="193">
                  <c:v>-1.5354625552892686E-3</c:v>
                </c:pt>
                <c:pt idx="194">
                  <c:v>0.12701061706542968</c:v>
                </c:pt>
                <c:pt idx="195">
                  <c:v>-0.14002109894752501</c:v>
                </c:pt>
                <c:pt idx="196">
                  <c:v>7.1267643773555753E-2</c:v>
                </c:pt>
                <c:pt idx="197">
                  <c:v>-4.285974462032318E-2</c:v>
                </c:pt>
                <c:pt idx="198">
                  <c:v>8.9862767267227167E-2</c:v>
                </c:pt>
                <c:pt idx="199">
                  <c:v>2.340617369413376E-2</c:v>
                </c:pt>
                <c:pt idx="200">
                  <c:v>6.5304282712936396E-2</c:v>
                </c:pt>
                <c:pt idx="201">
                  <c:v>4.1343463912606243E-3</c:v>
                </c:pt>
                <c:pt idx="202">
                  <c:v>-2.1678336134552955E-2</c:v>
                </c:pt>
                <c:pt idx="203">
                  <c:v>4.7655151647329329E-2</c:v>
                </c:pt>
                <c:pt idx="204">
                  <c:v>4.7346494412422183E-2</c:v>
                </c:pt>
                <c:pt idx="205">
                  <c:v>0.13318061015605925</c:v>
                </c:pt>
                <c:pt idx="206">
                  <c:v>4.8389670860767363E-2</c:v>
                </c:pt>
                <c:pt idx="207">
                  <c:v>-5.6967677472857759E-4</c:v>
                </c:pt>
                <c:pt idx="208">
                  <c:v>6.7203695797920224E-2</c:v>
                </c:pt>
                <c:pt idx="209">
                  <c:v>-5.7813868945837024E-2</c:v>
                </c:pt>
                <c:pt idx="210">
                  <c:v>3.2003731209039689E-2</c:v>
                </c:pt>
                <c:pt idx="211">
                  <c:v>0.10600516233444214</c:v>
                </c:pt>
                <c:pt idx="212">
                  <c:v>-6.1143930667638777E-2</c:v>
                </c:pt>
                <c:pt idx="213">
                  <c:v>9.5907673573493959E-2</c:v>
                </c:pt>
                <c:pt idx="214">
                  <c:v>1.9550290462374689E-2</c:v>
                </c:pt>
                <c:pt idx="215">
                  <c:v>-1.6145913527905943E-2</c:v>
                </c:pt>
                <c:pt idx="216">
                  <c:v>-1.1736430233716965E-2</c:v>
                </c:pt>
                <c:pt idx="217">
                  <c:v>6.6510360682010647E-2</c:v>
                </c:pt>
                <c:pt idx="218">
                  <c:v>-5.9250733059644699E-2</c:v>
                </c:pt>
                <c:pt idx="219">
                  <c:v>-1.6419694343209265E-2</c:v>
                </c:pt>
                <c:pt idx="220">
                  <c:v>0.13378093526363372</c:v>
                </c:pt>
                <c:pt idx="221">
                  <c:v>-1.081828265786171E-2</c:v>
                </c:pt>
                <c:pt idx="222">
                  <c:v>2.6383320876955985E-2</c:v>
                </c:pt>
                <c:pt idx="223">
                  <c:v>0.19846312429904939</c:v>
                </c:pt>
                <c:pt idx="224">
                  <c:v>-9.8029447123408314E-3</c:v>
                </c:pt>
                <c:pt idx="225">
                  <c:v>-3.2377561056613921E-2</c:v>
                </c:pt>
                <c:pt idx="226">
                  <c:v>-0.18250912361145019</c:v>
                </c:pt>
                <c:pt idx="227">
                  <c:v>-0.11859837683439255</c:v>
                </c:pt>
                <c:pt idx="228">
                  <c:v>5.3054029279947283E-2</c:v>
                </c:pt>
                <c:pt idx="229">
                  <c:v>4.2900741767883298E-2</c:v>
                </c:pt>
                <c:pt idx="230">
                  <c:v>9.5125722265243531E-2</c:v>
                </c:pt>
                <c:pt idx="231">
                  <c:v>5.4335912847518923E-2</c:v>
                </c:pt>
                <c:pt idx="232">
                  <c:v>-0.1258354427576065</c:v>
                </c:pt>
                <c:pt idx="233">
                  <c:v>0.12871916658878327</c:v>
                </c:pt>
                <c:pt idx="234">
                  <c:v>7.4494475996494294E-2</c:v>
                </c:pt>
                <c:pt idx="235">
                  <c:v>-1.8169601371884347E-2</c:v>
                </c:pt>
                <c:pt idx="236">
                  <c:v>7.1161553931236271E-2</c:v>
                </c:pt>
                <c:pt idx="237">
                  <c:v>0.10918443953990936</c:v>
                </c:pt>
                <c:pt idx="238">
                  <c:v>7.62240493774414E-2</c:v>
                </c:pt>
                <c:pt idx="239">
                  <c:v>9.7383887922763826E-2</c:v>
                </c:pt>
                <c:pt idx="240">
                  <c:v>5.2709929299354551E-2</c:v>
                </c:pt>
                <c:pt idx="241">
                  <c:v>-0.11550978775024415</c:v>
                </c:pt>
                <c:pt idx="242">
                  <c:v>-7.0961462509632117E-2</c:v>
                </c:pt>
                <c:pt idx="243">
                  <c:v>0.15537376701831818</c:v>
                </c:pt>
                <c:pt idx="244">
                  <c:v>8.4855804049968717E-2</c:v>
                </c:pt>
                <c:pt idx="245">
                  <c:v>0.14728625288009645</c:v>
                </c:pt>
                <c:pt idx="246">
                  <c:v>0.16503164341449739</c:v>
                </c:pt>
                <c:pt idx="247">
                  <c:v>0.21620896627902986</c:v>
                </c:pt>
                <c:pt idx="248">
                  <c:v>-0.10262632200717926</c:v>
                </c:pt>
                <c:pt idx="249">
                  <c:v>-6.0112064874172214E-2</c:v>
                </c:pt>
                <c:pt idx="250">
                  <c:v>9.5389643514156339E-2</c:v>
                </c:pt>
                <c:pt idx="251">
                  <c:v>0.11447370221614837</c:v>
                </c:pt>
                <c:pt idx="252">
                  <c:v>-5.5015124380588531E-3</c:v>
                </c:pt>
                <c:pt idx="253">
                  <c:v>-7.9531706869602203E-2</c:v>
                </c:pt>
                <c:pt idx="254">
                  <c:v>7.3395958170294762E-3</c:v>
                </c:pt>
                <c:pt idx="255">
                  <c:v>7.6217807829380035E-2</c:v>
                </c:pt>
                <c:pt idx="256">
                  <c:v>-5.0433635711669922E-2</c:v>
                </c:pt>
                <c:pt idx="257">
                  <c:v>9.9109269678592682E-2</c:v>
                </c:pt>
                <c:pt idx="258">
                  <c:v>6.4982429146766663E-2</c:v>
                </c:pt>
                <c:pt idx="259">
                  <c:v>4.243796318769455E-2</c:v>
                </c:pt>
                <c:pt idx="260">
                  <c:v>-6.8036630749702454E-2</c:v>
                </c:pt>
                <c:pt idx="261">
                  <c:v>5.8657266199588776E-2</c:v>
                </c:pt>
                <c:pt idx="262">
                  <c:v>0.10493991523981094</c:v>
                </c:pt>
                <c:pt idx="263">
                  <c:v>7.412869652509689E-2</c:v>
                </c:pt>
                <c:pt idx="264">
                  <c:v>-1.5712160617113113E-2</c:v>
                </c:pt>
                <c:pt idx="265">
                  <c:v>-5.4010778665542603E-2</c:v>
                </c:pt>
                <c:pt idx="266">
                  <c:v>5.7473387569189072E-2</c:v>
                </c:pt>
                <c:pt idx="267">
                  <c:v>-9.713079035282135E-2</c:v>
                </c:pt>
                <c:pt idx="268">
                  <c:v>-5.4724345493316652E-2</c:v>
                </c:pt>
                <c:pt idx="269">
                  <c:v>-8.2029690122604373E-2</c:v>
                </c:pt>
                <c:pt idx="270">
                  <c:v>0.18783365054130555</c:v>
                </c:pt>
                <c:pt idx="271">
                  <c:v>-3.3036505305767058E-2</c:v>
                </c:pt>
                <c:pt idx="272">
                  <c:v>-0.1228769994020462</c:v>
                </c:pt>
                <c:pt idx="273">
                  <c:v>0.10725137014389038</c:v>
                </c:pt>
                <c:pt idx="274">
                  <c:v>-3.6028980547189712E-2</c:v>
                </c:pt>
                <c:pt idx="275">
                  <c:v>-0.1255725510597229</c:v>
                </c:pt>
                <c:pt idx="276">
                  <c:v>0.10702106320858001</c:v>
                </c:pt>
                <c:pt idx="277">
                  <c:v>1.9817204958200454E-2</c:v>
                </c:pt>
                <c:pt idx="278">
                  <c:v>0.11504859610795974</c:v>
                </c:pt>
                <c:pt idx="279">
                  <c:v>2.5487258672714234E-2</c:v>
                </c:pt>
                <c:pt idx="280">
                  <c:v>4.2427861535549165E-2</c:v>
                </c:pt>
                <c:pt idx="281">
                  <c:v>9.0330050051212307E-2</c:v>
                </c:pt>
                <c:pt idx="282">
                  <c:v>8.2854598686099047E-3</c:v>
                </c:pt>
                <c:pt idx="283">
                  <c:v>-4.6953560978174214E-2</c:v>
                </c:pt>
                <c:pt idx="284">
                  <c:v>-9.2978285479545592E-2</c:v>
                </c:pt>
                <c:pt idx="285">
                  <c:v>-7.2699574034661048E-3</c:v>
                </c:pt>
                <c:pt idx="286">
                  <c:v>0.10932016370296478</c:v>
                </c:pt>
                <c:pt idx="287">
                  <c:v>9.2825313627719879E-3</c:v>
                </c:pt>
                <c:pt idx="288">
                  <c:v>-4.692721233963966E-2</c:v>
                </c:pt>
                <c:pt idx="289">
                  <c:v>-2.2692374569177626E-2</c:v>
                </c:pt>
                <c:pt idx="290">
                  <c:v>-5.5586332309246062E-2</c:v>
                </c:pt>
                <c:pt idx="291">
                  <c:v>-1.1406286221742629E-2</c:v>
                </c:pt>
                <c:pt idx="292">
                  <c:v>0.12575909492969514</c:v>
                </c:pt>
                <c:pt idx="293">
                  <c:v>9.145263817310334E-2</c:v>
                </c:pt>
                <c:pt idx="294">
                  <c:v>4.9910818964242931E-2</c:v>
                </c:pt>
                <c:pt idx="295">
                  <c:v>2.7485653054714204E-2</c:v>
                </c:pt>
                <c:pt idx="296">
                  <c:v>1.3467249184846878E-2</c:v>
                </c:pt>
                <c:pt idx="297">
                  <c:v>-3.4329169535636903E-2</c:v>
                </c:pt>
                <c:pt idx="298">
                  <c:v>4.7657732576131817E-2</c:v>
                </c:pt>
                <c:pt idx="299">
                  <c:v>5.1455254900455473E-2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1C-444D-999F-37E8283F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604303"/>
        <c:axId val="846562543"/>
      </c:scatterChart>
      <c:valAx>
        <c:axId val="84660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Excess return</a:t>
                </a:r>
                <a:r>
                  <a:rPr lang="en-US" baseline="0"/>
                  <a:t> Market (monthly)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62543"/>
        <c:crosses val="autoZero"/>
        <c:crossBetween val="midCat"/>
      </c:valAx>
      <c:valAx>
        <c:axId val="846562543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Excess</a:t>
                </a:r>
                <a:r>
                  <a:rPr lang="en-US" baseline="0"/>
                  <a:t> return Apple (monthly)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0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49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106880498738431"/>
                  <c:y val="-0.187575329679534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data!$B$2:$B$301</c:f>
              <c:numCache>
                <c:formatCode>General</c:formatCode>
                <c:ptCount val="300"/>
                <c:pt idx="0">
                  <c:v>-4.7400000000000005E-2</c:v>
                </c:pt>
                <c:pt idx="1">
                  <c:v>2.46E-2</c:v>
                </c:pt>
                <c:pt idx="2">
                  <c:v>5.21E-2</c:v>
                </c:pt>
                <c:pt idx="3">
                  <c:v>-6.3899999999999998E-2</c:v>
                </c:pt>
                <c:pt idx="4">
                  <c:v>-4.3899999999999995E-2</c:v>
                </c:pt>
                <c:pt idx="5">
                  <c:v>4.6799999999999994E-2</c:v>
                </c:pt>
                <c:pt idx="6">
                  <c:v>-2.4799999999999999E-2</c:v>
                </c:pt>
                <c:pt idx="7">
                  <c:v>7.0300000000000001E-2</c:v>
                </c:pt>
                <c:pt idx="8">
                  <c:v>-5.4400000000000004E-2</c:v>
                </c:pt>
                <c:pt idx="9">
                  <c:v>-2.7799999999999998E-2</c:v>
                </c:pt>
                <c:pt idx="10">
                  <c:v>-0.107</c:v>
                </c:pt>
                <c:pt idx="11">
                  <c:v>1.18E-2</c:v>
                </c:pt>
                <c:pt idx="12">
                  <c:v>3.2500000000000001E-2</c:v>
                </c:pt>
                <c:pt idx="13">
                  <c:v>-0.1003</c:v>
                </c:pt>
                <c:pt idx="14">
                  <c:v>-7.2499999999999995E-2</c:v>
                </c:pt>
                <c:pt idx="15">
                  <c:v>7.9299999999999995E-2</c:v>
                </c:pt>
                <c:pt idx="16">
                  <c:v>6.8000000000000005E-3</c:v>
                </c:pt>
                <c:pt idx="17">
                  <c:v>-1.9400000000000001E-2</c:v>
                </c:pt>
                <c:pt idx="18">
                  <c:v>-2.1299999999999999E-2</c:v>
                </c:pt>
                <c:pt idx="19">
                  <c:v>-6.4000000000000001E-2</c:v>
                </c:pt>
                <c:pt idx="20">
                  <c:v>-9.2399999999999996E-2</c:v>
                </c:pt>
                <c:pt idx="21">
                  <c:v>2.4799999999999999E-2</c:v>
                </c:pt>
                <c:pt idx="22">
                  <c:v>7.5300000000000006E-2</c:v>
                </c:pt>
                <c:pt idx="23">
                  <c:v>1.61E-2</c:v>
                </c:pt>
                <c:pt idx="24">
                  <c:v>-1.44E-2</c:v>
                </c:pt>
                <c:pt idx="25">
                  <c:v>-2.3E-2</c:v>
                </c:pt>
                <c:pt idx="26">
                  <c:v>4.24E-2</c:v>
                </c:pt>
                <c:pt idx="27">
                  <c:v>-5.21E-2</c:v>
                </c:pt>
                <c:pt idx="28">
                  <c:v>-1.3600000000000001E-2</c:v>
                </c:pt>
                <c:pt idx="29">
                  <c:v>-7.2300000000000003E-2</c:v>
                </c:pt>
                <c:pt idx="30">
                  <c:v>-8.1900000000000001E-2</c:v>
                </c:pt>
                <c:pt idx="31">
                  <c:v>5.0000000000000001E-3</c:v>
                </c:pt>
                <c:pt idx="32">
                  <c:v>-0.10339999999999999</c:v>
                </c:pt>
                <c:pt idx="33">
                  <c:v>7.8399999999999997E-2</c:v>
                </c:pt>
                <c:pt idx="34">
                  <c:v>5.96E-2</c:v>
                </c:pt>
                <c:pt idx="35">
                  <c:v>-5.7599999999999998E-2</c:v>
                </c:pt>
                <c:pt idx="36">
                  <c:v>-2.5699999999999997E-2</c:v>
                </c:pt>
                <c:pt idx="37">
                  <c:v>-1.8799999999999997E-2</c:v>
                </c:pt>
                <c:pt idx="38">
                  <c:v>1.09E-2</c:v>
                </c:pt>
                <c:pt idx="39">
                  <c:v>8.1799999999999998E-2</c:v>
                </c:pt>
                <c:pt idx="40">
                  <c:v>6.0499999999999998E-2</c:v>
                </c:pt>
                <c:pt idx="41">
                  <c:v>1.4199999999999999E-2</c:v>
                </c:pt>
                <c:pt idx="42">
                  <c:v>2.3300000000000001E-2</c:v>
                </c:pt>
                <c:pt idx="43">
                  <c:v>2.3300000000000001E-2</c:v>
                </c:pt>
                <c:pt idx="44">
                  <c:v>-1.24E-2</c:v>
                </c:pt>
                <c:pt idx="45">
                  <c:v>6.08E-2</c:v>
                </c:pt>
                <c:pt idx="46">
                  <c:v>1.3500000000000002E-2</c:v>
                </c:pt>
                <c:pt idx="47">
                  <c:v>4.2900000000000001E-2</c:v>
                </c:pt>
                <c:pt idx="48">
                  <c:v>2.1499999999999998E-2</c:v>
                </c:pt>
                <c:pt idx="49">
                  <c:v>1.3999999999999999E-2</c:v>
                </c:pt>
                <c:pt idx="50">
                  <c:v>-1.32E-2</c:v>
                </c:pt>
                <c:pt idx="51">
                  <c:v>-1.8100000000000002E-2</c:v>
                </c:pt>
                <c:pt idx="52">
                  <c:v>1.18E-2</c:v>
                </c:pt>
                <c:pt idx="53">
                  <c:v>1.8500000000000003E-2</c:v>
                </c:pt>
                <c:pt idx="54">
                  <c:v>-4.0399999999999998E-2</c:v>
                </c:pt>
                <c:pt idx="55">
                  <c:v>7.000000000000001E-4</c:v>
                </c:pt>
                <c:pt idx="56">
                  <c:v>1.6E-2</c:v>
                </c:pt>
                <c:pt idx="57">
                  <c:v>1.4199999999999999E-2</c:v>
                </c:pt>
                <c:pt idx="58">
                  <c:v>4.53E-2</c:v>
                </c:pt>
                <c:pt idx="59">
                  <c:v>3.4200000000000001E-2</c:v>
                </c:pt>
                <c:pt idx="60">
                  <c:v>-2.75E-2</c:v>
                </c:pt>
                <c:pt idx="61">
                  <c:v>1.8799999999999997E-2</c:v>
                </c:pt>
                <c:pt idx="62">
                  <c:v>-1.9400000000000001E-2</c:v>
                </c:pt>
                <c:pt idx="63">
                  <c:v>-2.6099999999999998E-2</c:v>
                </c:pt>
                <c:pt idx="64">
                  <c:v>3.6499999999999998E-2</c:v>
                </c:pt>
                <c:pt idx="65">
                  <c:v>5.7999999999999996E-3</c:v>
                </c:pt>
                <c:pt idx="66">
                  <c:v>3.9199999999999999E-2</c:v>
                </c:pt>
                <c:pt idx="67">
                  <c:v>-1.2E-2</c:v>
                </c:pt>
                <c:pt idx="68">
                  <c:v>4.7999999999999996E-3</c:v>
                </c:pt>
                <c:pt idx="69">
                  <c:v>-2.0400000000000001E-2</c:v>
                </c:pt>
                <c:pt idx="70">
                  <c:v>3.61E-2</c:v>
                </c:pt>
                <c:pt idx="71">
                  <c:v>-2.3999999999999998E-3</c:v>
                </c:pt>
                <c:pt idx="72">
                  <c:v>3.0299999999999997E-2</c:v>
                </c:pt>
                <c:pt idx="73">
                  <c:v>-3.0000000000000001E-3</c:v>
                </c:pt>
                <c:pt idx="74">
                  <c:v>1.47E-2</c:v>
                </c:pt>
                <c:pt idx="75">
                  <c:v>7.3000000000000001E-3</c:v>
                </c:pt>
                <c:pt idx="76">
                  <c:v>-3.56E-2</c:v>
                </c:pt>
                <c:pt idx="77">
                  <c:v>-3.4999999999999996E-3</c:v>
                </c:pt>
                <c:pt idx="78">
                  <c:v>-7.7000000000000002E-3</c:v>
                </c:pt>
                <c:pt idx="79">
                  <c:v>2.0299999999999999E-2</c:v>
                </c:pt>
                <c:pt idx="80">
                  <c:v>1.84E-2</c:v>
                </c:pt>
                <c:pt idx="81">
                  <c:v>3.2199999999999999E-2</c:v>
                </c:pt>
                <c:pt idx="82">
                  <c:v>1.7000000000000001E-2</c:v>
                </c:pt>
                <c:pt idx="83">
                  <c:v>8.5000000000000006E-3</c:v>
                </c:pt>
                <c:pt idx="84">
                  <c:v>1.38E-2</c:v>
                </c:pt>
                <c:pt idx="85">
                  <c:v>-1.9599999999999999E-2</c:v>
                </c:pt>
                <c:pt idx="86">
                  <c:v>7.0999999999999995E-3</c:v>
                </c:pt>
                <c:pt idx="87">
                  <c:v>3.49E-2</c:v>
                </c:pt>
                <c:pt idx="88">
                  <c:v>3.2300000000000002E-2</c:v>
                </c:pt>
                <c:pt idx="89">
                  <c:v>-1.9599999999999999E-2</c:v>
                </c:pt>
                <c:pt idx="90">
                  <c:v>-3.7200000000000004E-2</c:v>
                </c:pt>
                <c:pt idx="91">
                  <c:v>9.3999999999999986E-3</c:v>
                </c:pt>
                <c:pt idx="92">
                  <c:v>3.2199999999999999E-2</c:v>
                </c:pt>
                <c:pt idx="93">
                  <c:v>1.7899999999999999E-2</c:v>
                </c:pt>
                <c:pt idx="94">
                  <c:v>-4.8000000000000001E-2</c:v>
                </c:pt>
                <c:pt idx="95">
                  <c:v>-8.6999999999999994E-3</c:v>
                </c:pt>
                <c:pt idx="96">
                  <c:v>-6.3299999999999995E-2</c:v>
                </c:pt>
                <c:pt idx="97">
                  <c:v>-3.0899999999999997E-2</c:v>
                </c:pt>
                <c:pt idx="98">
                  <c:v>-9.3999999999999986E-3</c:v>
                </c:pt>
                <c:pt idx="99">
                  <c:v>4.6100000000000002E-2</c:v>
                </c:pt>
                <c:pt idx="100">
                  <c:v>1.8700000000000001E-2</c:v>
                </c:pt>
                <c:pt idx="101">
                  <c:v>-8.43E-2</c:v>
                </c:pt>
                <c:pt idx="102">
                  <c:v>-7.4999999999999997E-3</c:v>
                </c:pt>
                <c:pt idx="103">
                  <c:v>1.5300000000000001E-2</c:v>
                </c:pt>
                <c:pt idx="104">
                  <c:v>-9.35E-2</c:v>
                </c:pt>
                <c:pt idx="105">
                  <c:v>-0.17199999999999999</c:v>
                </c:pt>
                <c:pt idx="106">
                  <c:v>-7.7399999999999997E-2</c:v>
                </c:pt>
                <c:pt idx="107">
                  <c:v>1.77E-2</c:v>
                </c:pt>
                <c:pt idx="108">
                  <c:v>-8.09E-2</c:v>
                </c:pt>
                <c:pt idx="109">
                  <c:v>-0.1014</c:v>
                </c:pt>
                <c:pt idx="110">
                  <c:v>9.01E-2</c:v>
                </c:pt>
                <c:pt idx="111">
                  <c:v>0.1017</c:v>
                </c:pt>
                <c:pt idx="112">
                  <c:v>5.21E-2</c:v>
                </c:pt>
                <c:pt idx="113">
                  <c:v>4.1999999999999997E-3</c:v>
                </c:pt>
                <c:pt idx="114">
                  <c:v>7.7399999999999997E-2</c:v>
                </c:pt>
                <c:pt idx="115">
                  <c:v>3.3300000000000003E-2</c:v>
                </c:pt>
                <c:pt idx="116">
                  <c:v>4.0800000000000003E-2</c:v>
                </c:pt>
                <c:pt idx="117">
                  <c:v>-2.53E-2</c:v>
                </c:pt>
                <c:pt idx="118">
                  <c:v>5.6299999999999996E-2</c:v>
                </c:pt>
                <c:pt idx="119">
                  <c:v>2.7999999999999997E-2</c:v>
                </c:pt>
                <c:pt idx="120">
                  <c:v>-3.3500000000000002E-2</c:v>
                </c:pt>
                <c:pt idx="121">
                  <c:v>3.39E-2</c:v>
                </c:pt>
                <c:pt idx="122">
                  <c:v>6.3E-2</c:v>
                </c:pt>
                <c:pt idx="123">
                  <c:v>1.9900000000000001E-2</c:v>
                </c:pt>
                <c:pt idx="124">
                  <c:v>-7.9000000000000001E-2</c:v>
                </c:pt>
                <c:pt idx="125">
                  <c:v>-5.5599999999999997E-2</c:v>
                </c:pt>
                <c:pt idx="126">
                  <c:v>6.9199999999999998E-2</c:v>
                </c:pt>
                <c:pt idx="127">
                  <c:v>-4.7800000000000002E-2</c:v>
                </c:pt>
                <c:pt idx="128">
                  <c:v>9.5500000000000002E-2</c:v>
                </c:pt>
                <c:pt idx="129">
                  <c:v>3.8699999999999998E-2</c:v>
                </c:pt>
                <c:pt idx="130">
                  <c:v>5.8999999999999999E-3</c:v>
                </c:pt>
                <c:pt idx="131">
                  <c:v>6.8199999999999997E-2</c:v>
                </c:pt>
                <c:pt idx="132">
                  <c:v>1.9799999999999998E-2</c:v>
                </c:pt>
                <c:pt idx="133">
                  <c:v>3.4799999999999998E-2</c:v>
                </c:pt>
                <c:pt idx="134">
                  <c:v>4.5000000000000005E-3</c:v>
                </c:pt>
                <c:pt idx="135">
                  <c:v>2.8999999999999998E-2</c:v>
                </c:pt>
                <c:pt idx="136">
                  <c:v>-1.2699999999999999E-2</c:v>
                </c:pt>
                <c:pt idx="137">
                  <c:v>-1.7399999999999999E-2</c:v>
                </c:pt>
                <c:pt idx="138">
                  <c:v>-2.35E-2</c:v>
                </c:pt>
                <c:pt idx="139">
                  <c:v>-5.96E-2</c:v>
                </c:pt>
                <c:pt idx="140">
                  <c:v>-7.5800000000000006E-2</c:v>
                </c:pt>
                <c:pt idx="141">
                  <c:v>0.1133</c:v>
                </c:pt>
                <c:pt idx="142">
                  <c:v>-2.7000000000000001E-3</c:v>
                </c:pt>
                <c:pt idx="143">
                  <c:v>7.4999999999999997E-3</c:v>
                </c:pt>
                <c:pt idx="144">
                  <c:v>5.0499999999999996E-2</c:v>
                </c:pt>
                <c:pt idx="145">
                  <c:v>4.4199999999999996E-2</c:v>
                </c:pt>
                <c:pt idx="146">
                  <c:v>3.1200000000000002E-2</c:v>
                </c:pt>
                <c:pt idx="147">
                  <c:v>-8.5000000000000006E-3</c:v>
                </c:pt>
                <c:pt idx="148">
                  <c:v>-6.1699999999999998E-2</c:v>
                </c:pt>
                <c:pt idx="149">
                  <c:v>3.8900000000000004E-2</c:v>
                </c:pt>
                <c:pt idx="150">
                  <c:v>7.9000000000000008E-3</c:v>
                </c:pt>
                <c:pt idx="151">
                  <c:v>2.5399999999999999E-2</c:v>
                </c:pt>
                <c:pt idx="152">
                  <c:v>2.7300000000000001E-2</c:v>
                </c:pt>
                <c:pt idx="153">
                  <c:v>-1.7600000000000001E-2</c:v>
                </c:pt>
                <c:pt idx="154">
                  <c:v>7.8000000000000005E-3</c:v>
                </c:pt>
                <c:pt idx="155">
                  <c:v>1.18E-2</c:v>
                </c:pt>
                <c:pt idx="156">
                  <c:v>5.57E-2</c:v>
                </c:pt>
                <c:pt idx="157">
                  <c:v>1.2800000000000001E-2</c:v>
                </c:pt>
                <c:pt idx="158">
                  <c:v>4.0399999999999998E-2</c:v>
                </c:pt>
                <c:pt idx="159">
                  <c:v>1.5600000000000001E-2</c:v>
                </c:pt>
                <c:pt idx="160">
                  <c:v>2.7999999999999997E-2</c:v>
                </c:pt>
                <c:pt idx="161">
                  <c:v>-1.2E-2</c:v>
                </c:pt>
                <c:pt idx="162">
                  <c:v>5.6500000000000002E-2</c:v>
                </c:pt>
                <c:pt idx="163">
                  <c:v>-2.7099999999999999E-2</c:v>
                </c:pt>
                <c:pt idx="164">
                  <c:v>3.7699999999999997E-2</c:v>
                </c:pt>
                <c:pt idx="165">
                  <c:v>4.1700000000000001E-2</c:v>
                </c:pt>
                <c:pt idx="166">
                  <c:v>3.1099999999999999E-2</c:v>
                </c:pt>
                <c:pt idx="167">
                  <c:v>2.81E-2</c:v>
                </c:pt>
                <c:pt idx="168">
                  <c:v>-3.32E-2</c:v>
                </c:pt>
                <c:pt idx="169">
                  <c:v>4.6600000000000003E-2</c:v>
                </c:pt>
                <c:pt idx="170">
                  <c:v>4.3E-3</c:v>
                </c:pt>
                <c:pt idx="171">
                  <c:v>-1.8E-3</c:v>
                </c:pt>
                <c:pt idx="172">
                  <c:v>2.0499999999999997E-2</c:v>
                </c:pt>
                <c:pt idx="173">
                  <c:v>2.6000000000000002E-2</c:v>
                </c:pt>
                <c:pt idx="174">
                  <c:v>-2.0299999999999999E-2</c:v>
                </c:pt>
                <c:pt idx="175">
                  <c:v>4.24E-2</c:v>
                </c:pt>
                <c:pt idx="176">
                  <c:v>-1.9599999999999999E-2</c:v>
                </c:pt>
                <c:pt idx="177">
                  <c:v>2.5099999999999997E-2</c:v>
                </c:pt>
                <c:pt idx="178">
                  <c:v>2.5600000000000001E-2</c:v>
                </c:pt>
                <c:pt idx="179">
                  <c:v>-5.0000000000000001E-4</c:v>
                </c:pt>
                <c:pt idx="180">
                  <c:v>-3.1E-2</c:v>
                </c:pt>
                <c:pt idx="181">
                  <c:v>6.13E-2</c:v>
                </c:pt>
                <c:pt idx="182">
                  <c:v>-1.11E-2</c:v>
                </c:pt>
                <c:pt idx="183">
                  <c:v>5.8999999999999999E-3</c:v>
                </c:pt>
                <c:pt idx="184">
                  <c:v>1.37E-2</c:v>
                </c:pt>
                <c:pt idx="185">
                  <c:v>-1.52E-2</c:v>
                </c:pt>
                <c:pt idx="186">
                  <c:v>1.5700000000000002E-2</c:v>
                </c:pt>
                <c:pt idx="187">
                  <c:v>-6.0199999999999997E-2</c:v>
                </c:pt>
                <c:pt idx="188">
                  <c:v>-3.0600000000000002E-2</c:v>
                </c:pt>
                <c:pt idx="189">
                  <c:v>7.7499999999999999E-2</c:v>
                </c:pt>
                <c:pt idx="190">
                  <c:v>5.6999999999999993E-3</c:v>
                </c:pt>
                <c:pt idx="191">
                  <c:v>-2.1499999999999998E-2</c:v>
                </c:pt>
                <c:pt idx="192">
                  <c:v>-5.74E-2</c:v>
                </c:pt>
                <c:pt idx="193">
                  <c:v>-5.9999999999999995E-4</c:v>
                </c:pt>
                <c:pt idx="194">
                  <c:v>6.9500000000000006E-2</c:v>
                </c:pt>
                <c:pt idx="195">
                  <c:v>9.1999999999999998E-3</c:v>
                </c:pt>
                <c:pt idx="196">
                  <c:v>1.78E-2</c:v>
                </c:pt>
                <c:pt idx="197">
                  <c:v>-2.9999999999999997E-4</c:v>
                </c:pt>
                <c:pt idx="198">
                  <c:v>3.9399999999999998E-2</c:v>
                </c:pt>
                <c:pt idx="199">
                  <c:v>4.8999999999999998E-3</c:v>
                </c:pt>
                <c:pt idx="200">
                  <c:v>2.7000000000000001E-3</c:v>
                </c:pt>
                <c:pt idx="201">
                  <c:v>-2.0099999999999996E-2</c:v>
                </c:pt>
                <c:pt idx="202">
                  <c:v>4.8600000000000004E-2</c:v>
                </c:pt>
                <c:pt idx="203">
                  <c:v>1.8100000000000002E-2</c:v>
                </c:pt>
                <c:pt idx="204">
                  <c:v>1.9400000000000001E-2</c:v>
                </c:pt>
                <c:pt idx="205">
                  <c:v>3.5499999999999997E-2</c:v>
                </c:pt>
                <c:pt idx="206">
                  <c:v>1.7000000000000001E-3</c:v>
                </c:pt>
                <c:pt idx="207">
                  <c:v>1.0800000000000001E-2</c:v>
                </c:pt>
                <c:pt idx="208">
                  <c:v>1.0700000000000001E-2</c:v>
                </c:pt>
                <c:pt idx="209">
                  <c:v>7.9000000000000008E-3</c:v>
                </c:pt>
                <c:pt idx="210">
                  <c:v>1.8799999999999997E-2</c:v>
                </c:pt>
                <c:pt idx="211">
                  <c:v>1.8E-3</c:v>
                </c:pt>
                <c:pt idx="212">
                  <c:v>2.4900000000000002E-2</c:v>
                </c:pt>
                <c:pt idx="213">
                  <c:v>2.2599999999999999E-2</c:v>
                </c:pt>
                <c:pt idx="214">
                  <c:v>3.1200000000000002E-2</c:v>
                </c:pt>
                <c:pt idx="215">
                  <c:v>1.06E-2</c:v>
                </c:pt>
                <c:pt idx="216">
                  <c:v>5.5800000000000002E-2</c:v>
                </c:pt>
                <c:pt idx="217">
                  <c:v>-3.6400000000000002E-2</c:v>
                </c:pt>
                <c:pt idx="218">
                  <c:v>-2.35E-2</c:v>
                </c:pt>
                <c:pt idx="219">
                  <c:v>2.7000000000000001E-3</c:v>
                </c:pt>
                <c:pt idx="220">
                  <c:v>2.6600000000000002E-2</c:v>
                </c:pt>
                <c:pt idx="221">
                  <c:v>4.8999999999999998E-3</c:v>
                </c:pt>
                <c:pt idx="222">
                  <c:v>3.2000000000000001E-2</c:v>
                </c:pt>
                <c:pt idx="223">
                  <c:v>3.4500000000000003E-2</c:v>
                </c:pt>
                <c:pt idx="224">
                  <c:v>5.9999999999999995E-4</c:v>
                </c:pt>
                <c:pt idx="225">
                  <c:v>-7.6499999999999999E-2</c:v>
                </c:pt>
                <c:pt idx="226">
                  <c:v>1.7100000000000001E-2</c:v>
                </c:pt>
                <c:pt idx="227">
                  <c:v>-9.5500000000000002E-2</c:v>
                </c:pt>
                <c:pt idx="228">
                  <c:v>8.3699999999999997E-2</c:v>
                </c:pt>
                <c:pt idx="229">
                  <c:v>3.4200000000000001E-2</c:v>
                </c:pt>
                <c:pt idx="230">
                  <c:v>1.1000000000000001E-2</c:v>
                </c:pt>
                <c:pt idx="231">
                  <c:v>3.9699999999999999E-2</c:v>
                </c:pt>
                <c:pt idx="232">
                  <c:v>-6.9199999999999998E-2</c:v>
                </c:pt>
                <c:pt idx="233">
                  <c:v>6.9900000000000004E-2</c:v>
                </c:pt>
                <c:pt idx="234">
                  <c:v>1.23E-2</c:v>
                </c:pt>
                <c:pt idx="235">
                  <c:v>-2.5499999999999998E-2</c:v>
                </c:pt>
                <c:pt idx="236">
                  <c:v>1.41E-2</c:v>
                </c:pt>
                <c:pt idx="237">
                  <c:v>2.07E-2</c:v>
                </c:pt>
                <c:pt idx="238">
                  <c:v>3.8699999999999998E-2</c:v>
                </c:pt>
                <c:pt idx="239">
                  <c:v>2.7699999999999999E-2</c:v>
                </c:pt>
                <c:pt idx="240">
                  <c:v>-1.1000000000000001E-3</c:v>
                </c:pt>
                <c:pt idx="241">
                  <c:v>-8.1500000000000003E-2</c:v>
                </c:pt>
                <c:pt idx="242">
                  <c:v>-0.13369999999999999</c:v>
                </c:pt>
                <c:pt idx="243">
                  <c:v>0.13600000000000001</c:v>
                </c:pt>
                <c:pt idx="244">
                  <c:v>5.57E-2</c:v>
                </c:pt>
                <c:pt idx="245">
                  <c:v>2.4500000000000001E-2</c:v>
                </c:pt>
                <c:pt idx="246">
                  <c:v>5.8299999999999998E-2</c:v>
                </c:pt>
                <c:pt idx="247">
                  <c:v>7.6200000000000004E-2</c:v>
                </c:pt>
                <c:pt idx="248">
                  <c:v>-3.6400000000000002E-2</c:v>
                </c:pt>
                <c:pt idx="249">
                  <c:v>-2.0799999999999999E-2</c:v>
                </c:pt>
                <c:pt idx="250">
                  <c:v>0.1245</c:v>
                </c:pt>
                <c:pt idx="251">
                  <c:v>4.6300000000000001E-2</c:v>
                </c:pt>
                <c:pt idx="252">
                  <c:v>-7.000000000000001E-4</c:v>
                </c:pt>
                <c:pt idx="253">
                  <c:v>2.81E-2</c:v>
                </c:pt>
                <c:pt idx="254">
                  <c:v>3.1600000000000003E-2</c:v>
                </c:pt>
                <c:pt idx="255">
                  <c:v>4.9500000000000002E-2</c:v>
                </c:pt>
                <c:pt idx="256">
                  <c:v>3.0000000000000001E-3</c:v>
                </c:pt>
                <c:pt idx="257">
                  <c:v>2.7400000000000001E-2</c:v>
                </c:pt>
                <c:pt idx="258">
                  <c:v>1.34E-2</c:v>
                </c:pt>
                <c:pt idx="259">
                  <c:v>2.9399999999999999E-2</c:v>
                </c:pt>
                <c:pt idx="260">
                  <c:v>-4.4000000000000004E-2</c:v>
                </c:pt>
                <c:pt idx="261">
                  <c:v>6.6299999999999998E-2</c:v>
                </c:pt>
                <c:pt idx="262">
                  <c:v>-1.5800000000000002E-2</c:v>
                </c:pt>
                <c:pt idx="263">
                  <c:v>3.2300000000000002E-2</c:v>
                </c:pt>
                <c:pt idx="264">
                  <c:v>-6.1600000000000002E-2</c:v>
                </c:pt>
                <c:pt idx="265">
                  <c:v>-2.2799999999999997E-2</c:v>
                </c:pt>
                <c:pt idx="266">
                  <c:v>3.0800000000000001E-2</c:v>
                </c:pt>
                <c:pt idx="267">
                  <c:v>-9.4100000000000003E-2</c:v>
                </c:pt>
                <c:pt idx="268">
                  <c:v>-3.4000000000000002E-3</c:v>
                </c:pt>
                <c:pt idx="269">
                  <c:v>-8.4000000000000005E-2</c:v>
                </c:pt>
                <c:pt idx="270">
                  <c:v>9.5700000000000007E-2</c:v>
                </c:pt>
                <c:pt idx="271">
                  <c:v>-3.7699999999999997E-2</c:v>
                </c:pt>
                <c:pt idx="272">
                  <c:v>-9.3399999999999997E-2</c:v>
                </c:pt>
                <c:pt idx="273">
                  <c:v>7.85E-2</c:v>
                </c:pt>
                <c:pt idx="274">
                  <c:v>4.6500000000000007E-2</c:v>
                </c:pt>
                <c:pt idx="275">
                  <c:v>-6.3799999999999996E-2</c:v>
                </c:pt>
                <c:pt idx="276">
                  <c:v>6.6100000000000006E-2</c:v>
                </c:pt>
                <c:pt idx="277">
                  <c:v>-2.5699999999999997E-2</c:v>
                </c:pt>
                <c:pt idx="278">
                  <c:v>2.4799999999999999E-2</c:v>
                </c:pt>
                <c:pt idx="279">
                  <c:v>6.1999999999999998E-3</c:v>
                </c:pt>
                <c:pt idx="280">
                  <c:v>3.4000000000000002E-3</c:v>
                </c:pt>
                <c:pt idx="281">
                  <c:v>6.4600000000000005E-2</c:v>
                </c:pt>
                <c:pt idx="282">
                  <c:v>3.2099999999999997E-2</c:v>
                </c:pt>
                <c:pt idx="283">
                  <c:v>-2.3599999999999999E-2</c:v>
                </c:pt>
                <c:pt idx="284">
                  <c:v>-5.2300000000000006E-2</c:v>
                </c:pt>
                <c:pt idx="285">
                  <c:v>-3.15E-2</c:v>
                </c:pt>
                <c:pt idx="286">
                  <c:v>8.8800000000000004E-2</c:v>
                </c:pt>
                <c:pt idx="287">
                  <c:v>4.8499999999999995E-2</c:v>
                </c:pt>
                <c:pt idx="288">
                  <c:v>7.3000000000000001E-3</c:v>
                </c:pt>
                <c:pt idx="289">
                  <c:v>5.0700000000000002E-2</c:v>
                </c:pt>
                <c:pt idx="290">
                  <c:v>2.8399999999999998E-2</c:v>
                </c:pt>
                <c:pt idx="291">
                  <c:v>-4.6500000000000007E-2</c:v>
                </c:pt>
                <c:pt idx="292">
                  <c:v>4.3299999999999998E-2</c:v>
                </c:pt>
                <c:pt idx="293">
                  <c:v>2.7999999999999997E-2</c:v>
                </c:pt>
                <c:pt idx="294">
                  <c:v>1.2199999999999999E-2</c:v>
                </c:pt>
                <c:pt idx="295">
                  <c:v>1.6E-2</c:v>
                </c:pt>
                <c:pt idx="296">
                  <c:v>1.72E-2</c:v>
                </c:pt>
                <c:pt idx="297">
                  <c:v>-0.01</c:v>
                </c:pt>
                <c:pt idx="298">
                  <c:v>6.4899999999999999E-2</c:v>
                </c:pt>
                <c:pt idx="299">
                  <c:v>-3.1699999999999999E-2</c:v>
                </c:pt>
              </c:numCache>
            </c:numRef>
          </c:xVal>
          <c:yVal>
            <c:numRef>
              <c:f>data!$G$2:$G$301</c:f>
              <c:numCache>
                <c:formatCode>General</c:formatCode>
                <c:ptCount val="300"/>
                <c:pt idx="0">
                  <c:v>-0.21448615703582763</c:v>
                </c:pt>
                <c:pt idx="1">
                  <c:v>0.72251283950805667</c:v>
                </c:pt>
                <c:pt idx="2">
                  <c:v>0.31536835937500002</c:v>
                </c:pt>
                <c:pt idx="3">
                  <c:v>5.0328794503211975E-2</c:v>
                </c:pt>
                <c:pt idx="4">
                  <c:v>0.27550491213798523</c:v>
                </c:pt>
                <c:pt idx="5">
                  <c:v>0.10991018331050872</c:v>
                </c:pt>
                <c:pt idx="6">
                  <c:v>-6.0847197431325911E-2</c:v>
                </c:pt>
                <c:pt idx="7">
                  <c:v>0.3179166567325592</c:v>
                </c:pt>
                <c:pt idx="8">
                  <c:v>2.6396062874794006E-2</c:v>
                </c:pt>
                <c:pt idx="9">
                  <c:v>-0.24663052914142608</c:v>
                </c:pt>
                <c:pt idx="10">
                  <c:v>-0.35335244545936584</c:v>
                </c:pt>
                <c:pt idx="11">
                  <c:v>-0.1959722238779068</c:v>
                </c:pt>
                <c:pt idx="12">
                  <c:v>0.57018417320251469</c:v>
                </c:pt>
                <c:pt idx="13">
                  <c:v>-0.13818256084918976</c:v>
                </c:pt>
                <c:pt idx="14">
                  <c:v>0.44859720425605776</c:v>
                </c:pt>
                <c:pt idx="15">
                  <c:v>0.27918066725730895</c:v>
                </c:pt>
                <c:pt idx="16">
                  <c:v>2.4531062844395636E-2</c:v>
                </c:pt>
                <c:pt idx="17">
                  <c:v>8.0601463925838474E-2</c:v>
                </c:pt>
                <c:pt idx="18">
                  <c:v>-0.13076277959346772</c:v>
                </c:pt>
                <c:pt idx="19">
                  <c:v>4.3995149755477907E-2</c:v>
                </c:pt>
                <c:pt idx="20">
                  <c:v>-0.35423432021141055</c:v>
                </c:pt>
                <c:pt idx="21">
                  <c:v>0.55804760007858278</c:v>
                </c:pt>
                <c:pt idx="22">
                  <c:v>0.27314831213951113</c:v>
                </c:pt>
                <c:pt idx="23">
                  <c:v>0.22287778115272522</c:v>
                </c:pt>
                <c:pt idx="24">
                  <c:v>-1.8739367419481276E-2</c:v>
                </c:pt>
                <c:pt idx="25">
                  <c:v>-0.22536449913978576</c:v>
                </c:pt>
                <c:pt idx="26">
                  <c:v>-0.13166654889583587</c:v>
                </c:pt>
                <c:pt idx="27">
                  <c:v>-0.21678401970863342</c:v>
                </c:pt>
                <c:pt idx="28">
                  <c:v>-4.0182022893428801E-2</c:v>
                </c:pt>
                <c:pt idx="29">
                  <c:v>-0.48785107617378237</c:v>
                </c:pt>
                <c:pt idx="30">
                  <c:v>-0.35714613342285156</c:v>
                </c:pt>
                <c:pt idx="31">
                  <c:v>-8.8518282914161681E-2</c:v>
                </c:pt>
                <c:pt idx="32">
                  <c:v>-0.15434489264488221</c:v>
                </c:pt>
                <c:pt idx="33">
                  <c:v>0.3887868164539337</c:v>
                </c:pt>
                <c:pt idx="34">
                  <c:v>0.43829577212333681</c:v>
                </c:pt>
                <c:pt idx="35">
                  <c:v>-0.32917934284210204</c:v>
                </c:pt>
                <c:pt idx="36">
                  <c:v>-0.10438839888572693</c:v>
                </c:pt>
                <c:pt idx="37">
                  <c:v>0.22196824882030486</c:v>
                </c:pt>
                <c:pt idx="38">
                  <c:v>1.9602237433195113E-2</c:v>
                </c:pt>
                <c:pt idx="39">
                  <c:v>0.10691928321123123</c:v>
                </c:pt>
                <c:pt idx="40">
                  <c:v>0.8330172601699829</c:v>
                </c:pt>
                <c:pt idx="41">
                  <c:v>-0.12557012385129929</c:v>
                </c:pt>
                <c:pt idx="42">
                  <c:v>-0.16743940420150757</c:v>
                </c:pt>
                <c:pt idx="43">
                  <c:v>-4.8892773014307021E-2</c:v>
                </c:pt>
                <c:pt idx="44">
                  <c:v>-0.12187869237661361</c:v>
                </c:pt>
                <c:pt idx="45">
                  <c:v>0.10637576572895049</c:v>
                </c:pt>
                <c:pt idx="46">
                  <c:v>0.20009180598258972</c:v>
                </c:pt>
                <c:pt idx="47">
                  <c:v>9.1993278396129613E-2</c:v>
                </c:pt>
                <c:pt idx="48">
                  <c:v>-4.1648309004306792E-2</c:v>
                </c:pt>
                <c:pt idx="49">
                  <c:v>-5.9999999999999995E-4</c:v>
                </c:pt>
                <c:pt idx="50">
                  <c:v>0.18561683628559111</c:v>
                </c:pt>
                <c:pt idx="51">
                  <c:v>-0.22352723913192749</c:v>
                </c:pt>
                <c:pt idx="52">
                  <c:v>0.14218753101825715</c:v>
                </c:pt>
                <c:pt idx="53">
                  <c:v>-0.12787895040512084</c:v>
                </c:pt>
                <c:pt idx="54">
                  <c:v>-0.24770246243476868</c:v>
                </c:pt>
                <c:pt idx="55">
                  <c:v>-0.19305850193500518</c:v>
                </c:pt>
                <c:pt idx="56">
                  <c:v>0.16422908380031587</c:v>
                </c:pt>
                <c:pt idx="57">
                  <c:v>-4.5435391426086429E-3</c:v>
                </c:pt>
                <c:pt idx="58">
                  <c:v>0.32054553484916687</c:v>
                </c:pt>
                <c:pt idx="59">
                  <c:v>0.22997347738742829</c:v>
                </c:pt>
                <c:pt idx="60">
                  <c:v>-2.8764660394191743E-2</c:v>
                </c:pt>
                <c:pt idx="61">
                  <c:v>0.26323419537544251</c:v>
                </c:pt>
                <c:pt idx="62">
                  <c:v>-0.18250701746940612</c:v>
                </c:pt>
                <c:pt idx="63">
                  <c:v>-7.9120198106765752E-2</c:v>
                </c:pt>
                <c:pt idx="64">
                  <c:v>0.23335010895729064</c:v>
                </c:pt>
                <c:pt idx="65">
                  <c:v>-1.6322179879248142E-2</c:v>
                </c:pt>
                <c:pt idx="66">
                  <c:v>1.0324556960165501E-2</c:v>
                </c:pt>
                <c:pt idx="67">
                  <c:v>0.13077682864665985</c:v>
                </c:pt>
                <c:pt idx="68">
                  <c:v>0.11444023690223694</c:v>
                </c:pt>
                <c:pt idx="69">
                  <c:v>-2.3995202895998956E-2</c:v>
                </c:pt>
                <c:pt idx="70">
                  <c:v>7.4396342360973353E-2</c:v>
                </c:pt>
                <c:pt idx="71">
                  <c:v>8.1416276872158053E-3</c:v>
                </c:pt>
                <c:pt idx="72">
                  <c:v>0.22625923120975494</c:v>
                </c:pt>
                <c:pt idx="73">
                  <c:v>4.4865170305967331E-2</c:v>
                </c:pt>
                <c:pt idx="74">
                  <c:v>0.21123734419345855</c:v>
                </c:pt>
                <c:pt idx="75">
                  <c:v>1.7007760176062585E-2</c:v>
                </c:pt>
                <c:pt idx="76">
                  <c:v>-0.21785235576629638</c:v>
                </c:pt>
                <c:pt idx="77">
                  <c:v>-7.7542155325412754E-2</c:v>
                </c:pt>
                <c:pt idx="78">
                  <c:v>3.5924774318933483E-2</c:v>
                </c:pt>
                <c:pt idx="79">
                  <c:v>0.31061486558914186</c:v>
                </c:pt>
                <c:pt idx="80">
                  <c:v>1.2389163041114808E-2</c:v>
                </c:pt>
                <c:pt idx="81">
                  <c:v>0.17433861877918244</c:v>
                </c:pt>
                <c:pt idx="82">
                  <c:v>5.6597326266765592E-2</c:v>
                </c:pt>
                <c:pt idx="83">
                  <c:v>-3.459404090885073E-3</c:v>
                </c:pt>
                <c:pt idx="84">
                  <c:v>-0.1762454211950302</c:v>
                </c:pt>
                <c:pt idx="85">
                  <c:v>7.6192618057131772E-3</c:v>
                </c:pt>
                <c:pt idx="86">
                  <c:v>-7.5912879633903502E-2</c:v>
                </c:pt>
                <c:pt idx="87">
                  <c:v>0.13840745387077333</c:v>
                </c:pt>
                <c:pt idx="88">
                  <c:v>4.9077274763584137E-2</c:v>
                </c:pt>
                <c:pt idx="89">
                  <c:v>0.18858643686771392</c:v>
                </c:pt>
                <c:pt idx="90">
                  <c:v>0.10372202163934707</c:v>
                </c:pt>
                <c:pt idx="91">
                  <c:v>0.11380703406333924</c:v>
                </c:pt>
                <c:pt idx="92">
                  <c:v>5.93489205121994E-2</c:v>
                </c:pt>
                <c:pt idx="93">
                  <c:v>-2.6930700835585596E-2</c:v>
                </c:pt>
                <c:pt idx="94">
                  <c:v>-0.11193590071201324</c:v>
                </c:pt>
                <c:pt idx="95">
                  <c:v>7.5930290925502783E-2</c:v>
                </c:pt>
                <c:pt idx="96">
                  <c:v>-0.27928988060951232</c:v>
                </c:pt>
                <c:pt idx="97">
                  <c:v>-0.13143422489166259</c:v>
                </c:pt>
                <c:pt idx="98">
                  <c:v>-7.6501236391067512E-2</c:v>
                </c:pt>
                <c:pt idx="99">
                  <c:v>3.6603145968914029E-2</c:v>
                </c:pt>
                <c:pt idx="100">
                  <c:v>0.20014655656814576</c:v>
                </c:pt>
                <c:pt idx="101">
                  <c:v>-0.24380532009601594</c:v>
                </c:pt>
                <c:pt idx="102">
                  <c:v>-0.3903888955116272</c:v>
                </c:pt>
                <c:pt idx="103">
                  <c:v>0.10359517450332642</c:v>
                </c:pt>
                <c:pt idx="104">
                  <c:v>-0.15418988907337189</c:v>
                </c:pt>
                <c:pt idx="105">
                  <c:v>-0.18287280337810516</c:v>
                </c:pt>
                <c:pt idx="106">
                  <c:v>-0.14756032316684722</c:v>
                </c:pt>
                <c:pt idx="107">
                  <c:v>8.0321274697780609E-2</c:v>
                </c:pt>
                <c:pt idx="108">
                  <c:v>-1.4869875274598598E-2</c:v>
                </c:pt>
                <c:pt idx="109">
                  <c:v>4.1409427130222318E-2</c:v>
                </c:pt>
                <c:pt idx="110">
                  <c:v>0.19062126021385192</c:v>
                </c:pt>
                <c:pt idx="111">
                  <c:v>0.16420020332336427</c:v>
                </c:pt>
                <c:pt idx="112">
                  <c:v>-9.1463349759578705E-2</c:v>
                </c:pt>
                <c:pt idx="113">
                  <c:v>8.235442062616348E-2</c:v>
                </c:pt>
                <c:pt idx="114">
                  <c:v>0.14516131749153138</c:v>
                </c:pt>
                <c:pt idx="115">
                  <c:v>0.1228698434472084</c:v>
                </c:pt>
                <c:pt idx="116">
                  <c:v>3.5023914480209348E-2</c:v>
                </c:pt>
                <c:pt idx="117">
                  <c:v>-0.20425812900066376</c:v>
                </c:pt>
                <c:pt idx="118">
                  <c:v>9.1973274946212769E-2</c:v>
                </c:pt>
                <c:pt idx="119">
                  <c:v>0.43022157421112062</c:v>
                </c:pt>
                <c:pt idx="120">
                  <c:v>-0.17612418532371521</c:v>
                </c:pt>
                <c:pt idx="121">
                  <c:v>5.2631605416536331E-2</c:v>
                </c:pt>
                <c:pt idx="122">
                  <c:v>7.3974000120162961E-2</c:v>
                </c:pt>
                <c:pt idx="123">
                  <c:v>-9.7226416862010959E-2</c:v>
                </c:pt>
                <c:pt idx="124">
                  <c:v>-0.16369004378318786</c:v>
                </c:pt>
                <c:pt idx="125">
                  <c:v>-0.22308327088356017</c:v>
                </c:pt>
                <c:pt idx="126">
                  <c:v>-0.10000210086107254</c:v>
                </c:pt>
                <c:pt idx="127">
                  <c:v>1.4589905568957329E-2</c:v>
                </c:pt>
                <c:pt idx="128">
                  <c:v>0.25266142358779908</c:v>
                </c:pt>
                <c:pt idx="129">
                  <c:v>2.8876203873753548E-2</c:v>
                </c:pt>
                <c:pt idx="130">
                  <c:v>0.13204924931526185</c:v>
                </c:pt>
                <c:pt idx="131">
                  <c:v>0.13150404562950135</c:v>
                </c:pt>
                <c:pt idx="132">
                  <c:v>0.55314679613113404</c:v>
                </c:pt>
                <c:pt idx="133">
                  <c:v>-5.2775593644380572E-2</c:v>
                </c:pt>
                <c:pt idx="134">
                  <c:v>-0.18544865975379943</c:v>
                </c:pt>
                <c:pt idx="135">
                  <c:v>8.34236741065979E-2</c:v>
                </c:pt>
                <c:pt idx="136">
                  <c:v>2.0000457298010588E-3</c:v>
                </c:pt>
                <c:pt idx="137">
                  <c:v>-0.20484033226966858</c:v>
                </c:pt>
                <c:pt idx="138">
                  <c:v>-0.13209918141365051</c:v>
                </c:pt>
                <c:pt idx="139">
                  <c:v>-3.7699384784698489E-2</c:v>
                </c:pt>
                <c:pt idx="140">
                  <c:v>-6.0105197131633759E-2</c:v>
                </c:pt>
                <c:pt idx="141">
                  <c:v>0.18305355310440063</c:v>
                </c:pt>
                <c:pt idx="142">
                  <c:v>5.6081075221300125E-2</c:v>
                </c:pt>
                <c:pt idx="143">
                  <c:v>-0.11324378848075867</c:v>
                </c:pt>
                <c:pt idx="144">
                  <c:v>6.5656624734401703E-2</c:v>
                </c:pt>
                <c:pt idx="145">
                  <c:v>2.5727769359946251E-2</c:v>
                </c:pt>
                <c:pt idx="146">
                  <c:v>1.6171673312783241E-2</c:v>
                </c:pt>
                <c:pt idx="147">
                  <c:v>-0.15557001531124115</c:v>
                </c:pt>
                <c:pt idx="148">
                  <c:v>-4.3946130371093753E-2</c:v>
                </c:pt>
                <c:pt idx="149">
                  <c:v>0.11182617396116257</c:v>
                </c:pt>
                <c:pt idx="150">
                  <c:v>-2.026047371327877E-2</c:v>
                </c:pt>
                <c:pt idx="151">
                  <c:v>3.6089053207635877E-2</c:v>
                </c:pt>
                <c:pt idx="152">
                  <c:v>-4.9280299043655398E-2</c:v>
                </c:pt>
                <c:pt idx="153">
                  <c:v>-0.10242382267713547</c:v>
                </c:pt>
                <c:pt idx="154">
                  <c:v>5.7455020189285276E-3</c:v>
                </c:pt>
                <c:pt idx="155">
                  <c:v>2.4127231740951539E-2</c:v>
                </c:pt>
                <c:pt idx="156">
                  <c:v>0</c:v>
                </c:pt>
                <c:pt idx="157">
                  <c:v>3.8743849843740463E-2</c:v>
                </c:pt>
                <c:pt idx="158">
                  <c:v>1.3428126461803913E-2</c:v>
                </c:pt>
                <c:pt idx="159">
                  <c:v>7.3265828192234039E-2</c:v>
                </c:pt>
                <c:pt idx="160">
                  <c:v>5.6281756609678268E-2</c:v>
                </c:pt>
                <c:pt idx="161">
                  <c:v>-2.9716676101088524E-2</c:v>
                </c:pt>
                <c:pt idx="162">
                  <c:v>2.813393622636795E-2</c:v>
                </c:pt>
                <c:pt idx="163">
                  <c:v>2.7017636224627495E-2</c:v>
                </c:pt>
                <c:pt idx="164">
                  <c:v>5.4915282875299454E-2</c:v>
                </c:pt>
                <c:pt idx="165">
                  <c:v>-2.3843206465244293E-2</c:v>
                </c:pt>
                <c:pt idx="166">
                  <c:v>3.2655227929353714E-2</c:v>
                </c:pt>
                <c:pt idx="167">
                  <c:v>2.6923080906271935E-2</c:v>
                </c:pt>
                <c:pt idx="168">
                  <c:v>-1.9975071772933006E-2</c:v>
                </c:pt>
                <c:pt idx="169">
                  <c:v>0.17611460387706757</c:v>
                </c:pt>
                <c:pt idx="170">
                  <c:v>-2.557123638689518E-2</c:v>
                </c:pt>
                <c:pt idx="171">
                  <c:v>3.1267419457435608E-2</c:v>
                </c:pt>
                <c:pt idx="172">
                  <c:v>3.3297277987003326E-2</c:v>
                </c:pt>
                <c:pt idx="173">
                  <c:v>-2.4210477247834206E-2</c:v>
                </c:pt>
                <c:pt idx="174">
                  <c:v>-5.6094978004693985E-2</c:v>
                </c:pt>
                <c:pt idx="175">
                  <c:v>0.11628575623035431</c:v>
                </c:pt>
                <c:pt idx="176">
                  <c:v>-5.1413878798484802E-2</c:v>
                </c:pt>
                <c:pt idx="177">
                  <c:v>5.9078596532344818E-2</c:v>
                </c:pt>
                <c:pt idx="178">
                  <c:v>7.753317803144455E-2</c:v>
                </c:pt>
                <c:pt idx="179">
                  <c:v>-4.3872203677892685E-2</c:v>
                </c:pt>
                <c:pt idx="180">
                  <c:v>-4.2144604027271271E-2</c:v>
                </c:pt>
                <c:pt idx="181">
                  <c:v>0.15308511257171631</c:v>
                </c:pt>
                <c:pt idx="182">
                  <c:v>-5.145060271024704E-2</c:v>
                </c:pt>
                <c:pt idx="183">
                  <c:v>6.0692973434925079E-2</c:v>
                </c:pt>
                <c:pt idx="184">
                  <c:v>1.4642695896327496E-3</c:v>
                </c:pt>
                <c:pt idx="185">
                  <c:v>-9.1278746724128723E-2</c:v>
                </c:pt>
                <c:pt idx="186">
                  <c:v>-7.956232875585556E-3</c:v>
                </c:pt>
                <c:pt idx="187">
                  <c:v>0.13170419633388519</c:v>
                </c:pt>
                <c:pt idx="188">
                  <c:v>9.6530251204967499E-2</c:v>
                </c:pt>
                <c:pt idx="189">
                  <c:v>0.15091283619403839</c:v>
                </c:pt>
                <c:pt idx="190">
                  <c:v>0.12213600426912308</c:v>
                </c:pt>
                <c:pt idx="191">
                  <c:v>3.8992049002647397E-2</c:v>
                </c:pt>
                <c:pt idx="192">
                  <c:v>-0.111447034573555</c:v>
                </c:pt>
                <c:pt idx="193">
                  <c:v>7.439882646799087E-2</c:v>
                </c:pt>
                <c:pt idx="194">
                  <c:v>0.13596073131561279</c:v>
                </c:pt>
                <c:pt idx="195">
                  <c:v>-2.9066877275705336E-3</c:v>
                </c:pt>
                <c:pt idx="196">
                  <c:v>0.31808190217018129</c:v>
                </c:pt>
                <c:pt idx="197">
                  <c:v>6.0071294523775581E-3</c:v>
                </c:pt>
                <c:pt idx="198">
                  <c:v>0.2144351933479309</c:v>
                </c:pt>
                <c:pt idx="199">
                  <c:v>7.6069730925559992E-2</c:v>
                </c:pt>
                <c:pt idx="200">
                  <c:v>0.11685243587493896</c:v>
                </c:pt>
                <c:pt idx="201">
                  <c:v>3.832900117635727E-2</c:v>
                </c:pt>
                <c:pt idx="202">
                  <c:v>0.29753901233673097</c:v>
                </c:pt>
                <c:pt idx="203">
                  <c:v>0.15740067274570466</c:v>
                </c:pt>
                <c:pt idx="204">
                  <c:v>2.2459307006001471E-2</c:v>
                </c:pt>
                <c:pt idx="205">
                  <c:v>-6.9643423640727994E-2</c:v>
                </c:pt>
                <c:pt idx="206">
                  <c:v>7.3113446545600896E-2</c:v>
                </c:pt>
                <c:pt idx="207">
                  <c:v>-4.3004336684942246E-2</c:v>
                </c:pt>
                <c:pt idx="208">
                  <c:v>0.38473079624176026</c:v>
                </c:pt>
                <c:pt idx="209">
                  <c:v>8.5473808515816932E-4</c:v>
                </c:pt>
                <c:pt idx="210">
                  <c:v>0.12346987866163253</c:v>
                </c:pt>
                <c:pt idx="211">
                  <c:v>4.260506514310837E-2</c:v>
                </c:pt>
                <c:pt idx="212">
                  <c:v>5.4163750594854357E-2</c:v>
                </c:pt>
                <c:pt idx="213">
                  <c:v>0.15594954822063445</c:v>
                </c:pt>
                <c:pt idx="214">
                  <c:v>-2.9570325705409049E-2</c:v>
                </c:pt>
                <c:pt idx="215">
                  <c:v>-3.6822508686780928E-2</c:v>
                </c:pt>
                <c:pt idx="216">
                  <c:v>0.26918426527976991</c:v>
                </c:pt>
                <c:pt idx="217">
                  <c:v>-1.5949483035504818E-2</c:v>
                </c:pt>
                <c:pt idx="218">
                  <c:v>-4.4216545474529266E-2</c:v>
                </c:pt>
                <c:pt idx="219">
                  <c:v>-3.0287268155813216E-2</c:v>
                </c:pt>
                <c:pt idx="220">
                  <c:v>0.12060982123613358</c:v>
                </c:pt>
                <c:pt idx="221">
                  <c:v>-6.2028924518823622E-2</c:v>
                </c:pt>
                <c:pt idx="222">
                  <c:v>3.2000702881813052E-2</c:v>
                </c:pt>
                <c:pt idx="223">
                  <c:v>0.14530023660659791</c:v>
                </c:pt>
                <c:pt idx="224">
                  <c:v>-2.8866912331432107E-4</c:v>
                </c:pt>
                <c:pt idx="225">
                  <c:v>-0.25166865947246553</c:v>
                </c:pt>
                <c:pt idx="226">
                  <c:v>-0.225866823720932</c:v>
                </c:pt>
                <c:pt idx="227">
                  <c:v>-0.18503647806644441</c:v>
                </c:pt>
                <c:pt idx="228">
                  <c:v>7.4679022812843318E-2</c:v>
                </c:pt>
                <c:pt idx="229">
                  <c:v>7.2426051568984989E-2</c:v>
                </c:pt>
                <c:pt idx="230">
                  <c:v>0.16210884091854094</c:v>
                </c:pt>
                <c:pt idx="231">
                  <c:v>5.9196168273687368E-3</c:v>
                </c:pt>
                <c:pt idx="232">
                  <c:v>-0.25281820616722106</c:v>
                </c:pt>
                <c:pt idx="233">
                  <c:v>0.21058732337951661</c:v>
                </c:pt>
                <c:pt idx="234">
                  <c:v>2.5439741587638856E-2</c:v>
                </c:pt>
                <c:pt idx="235">
                  <c:v>-7.8233684584498413E-3</c:v>
                </c:pt>
                <c:pt idx="236">
                  <c:v>3.7361920547485349E-2</c:v>
                </c:pt>
                <c:pt idx="237">
                  <c:v>0.15332275187969208</c:v>
                </c:pt>
                <c:pt idx="238">
                  <c:v>7.7797120261192315E-2</c:v>
                </c:pt>
                <c:pt idx="239">
                  <c:v>8.4232540285587312E-2</c:v>
                </c:pt>
                <c:pt idx="240">
                  <c:v>3.5023359850049019E-3</c:v>
                </c:pt>
                <c:pt idx="241">
                  <c:v>0.14175992255210876</c:v>
                </c:pt>
                <c:pt idx="242">
                  <c:v>-2.5156755176186561E-2</c:v>
                </c:pt>
                <c:pt idx="243">
                  <c:v>0.10880118608474731</c:v>
                </c:pt>
                <c:pt idx="244">
                  <c:v>0.21455714275836946</c:v>
                </c:pt>
                <c:pt idx="245">
                  <c:v>7.0459449493885037E-2</c:v>
                </c:pt>
                <c:pt idx="246">
                  <c:v>0.11750678142309189</c:v>
                </c:pt>
                <c:pt idx="247">
                  <c:v>0.25989194383621217</c:v>
                </c:pt>
                <c:pt idx="248">
                  <c:v>1.1863046155869961E-2</c:v>
                </c:pt>
                <c:pt idx="249">
                  <c:v>-7.3748400604724887E-2</c:v>
                </c:pt>
                <c:pt idx="250">
                  <c:v>6.9111773574352262E-2</c:v>
                </c:pt>
                <c:pt idx="251">
                  <c:v>-2.5656813925504684E-2</c:v>
                </c:pt>
                <c:pt idx="252">
                  <c:v>-4.9980566836893559E-3</c:v>
                </c:pt>
                <c:pt idx="253">
                  <c:v>5.5793970823287964E-2</c:v>
                </c:pt>
                <c:pt idx="254">
                  <c:v>-2.6413694024085999E-2</c:v>
                </c:pt>
                <c:pt idx="255">
                  <c:v>0.12445454299449921</c:v>
                </c:pt>
                <c:pt idx="256">
                  <c:v>8.2281261682510376E-2</c:v>
                </c:pt>
                <c:pt idx="257">
                  <c:v>0.23158597946166992</c:v>
                </c:pt>
                <c:pt idx="258">
                  <c:v>-2.5171795859932899E-2</c:v>
                </c:pt>
                <c:pt idx="259">
                  <c:v>0.148212730884552</c:v>
                </c:pt>
                <c:pt idx="260">
                  <c:v>-7.4558861553668976E-2</c:v>
                </c:pt>
                <c:pt idx="261">
                  <c:v>0.23416680097579956</c:v>
                </c:pt>
                <c:pt idx="262">
                  <c:v>0.27805379033088684</c:v>
                </c:pt>
                <c:pt idx="263">
                  <c:v>-9.9898090755939487E-2</c:v>
                </c:pt>
                <c:pt idx="264">
                  <c:v>-0.1674543172121048</c:v>
                </c:pt>
                <c:pt idx="265">
                  <c:v>-4.1247834451496601E-3</c:v>
                </c:pt>
                <c:pt idx="266">
                  <c:v>0.11913052201271057</c:v>
                </c:pt>
                <c:pt idx="267">
                  <c:v>-0.32027408480644226</c:v>
                </c:pt>
                <c:pt idx="268">
                  <c:v>6.4396345548331738E-3</c:v>
                </c:pt>
                <c:pt idx="269">
                  <c:v>-0.18852846798896788</c:v>
                </c:pt>
                <c:pt idx="270">
                  <c:v>0.19736616177558899</c:v>
                </c:pt>
                <c:pt idx="271">
                  <c:v>-0.17086989941596986</c:v>
                </c:pt>
                <c:pt idx="272">
                  <c:v>-0.19740816714763643</c:v>
                </c:pt>
                <c:pt idx="273">
                  <c:v>0.10957084764242173</c:v>
                </c:pt>
                <c:pt idx="274">
                  <c:v>0.25123051247596739</c:v>
                </c:pt>
                <c:pt idx="275">
                  <c:v>-0.13974151389598846</c:v>
                </c:pt>
                <c:pt idx="276">
                  <c:v>0.33336873316764831</c:v>
                </c:pt>
                <c:pt idx="277">
                  <c:v>0.1849094161748886</c:v>
                </c:pt>
                <c:pt idx="278">
                  <c:v>0.1930315656900406</c:v>
                </c:pt>
                <c:pt idx="279">
                  <c:v>-4.5080238571390506E-3</c:v>
                </c:pt>
                <c:pt idx="280">
                  <c:v>0.35983654990196229</c:v>
                </c:pt>
                <c:pt idx="281">
                  <c:v>0.11420054054260254</c:v>
                </c:pt>
                <c:pt idx="282">
                  <c:v>0.10015230792760849</c:v>
                </c:pt>
                <c:pt idx="283">
                  <c:v>5.1696320801973339E-2</c:v>
                </c:pt>
                <c:pt idx="284">
                  <c:v>-0.12286954544782638</c:v>
                </c:pt>
                <c:pt idx="285">
                  <c:v>-6.7207189810276027E-2</c:v>
                </c:pt>
                <c:pt idx="286">
                  <c:v>0.14248579738140107</c:v>
                </c:pt>
                <c:pt idx="287">
                  <c:v>5.462663821578026E-2</c:v>
                </c:pt>
                <c:pt idx="288">
                  <c:v>0.23771754412651061</c:v>
                </c:pt>
                <c:pt idx="289">
                  <c:v>0.28160942749977114</c:v>
                </c:pt>
                <c:pt idx="290">
                  <c:v>0.13787817783355713</c:v>
                </c:pt>
                <c:pt idx="291">
                  <c:v>-4.8460214000940319E-2</c:v>
                </c:pt>
                <c:pt idx="292">
                  <c:v>0.26447100934982298</c:v>
                </c:pt>
                <c:pt idx="293">
                  <c:v>0.1228417554140091</c:v>
                </c:pt>
                <c:pt idx="294">
                  <c:v>-5.7276463329792027E-2</c:v>
                </c:pt>
                <c:pt idx="295">
                  <c:v>1.5282090049982072E-2</c:v>
                </c:pt>
                <c:pt idx="296">
                  <c:v>1.34248106777668E-2</c:v>
                </c:pt>
                <c:pt idx="297">
                  <c:v>8.9314690685272216E-2</c:v>
                </c:pt>
                <c:pt idx="298">
                  <c:v>3.735286062955856E-2</c:v>
                </c:pt>
                <c:pt idx="299">
                  <c:v>-3.2271477159857752E-2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9C-4D36-8CA7-D0C04E81C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604303"/>
        <c:axId val="846562543"/>
      </c:scatterChart>
      <c:valAx>
        <c:axId val="84660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Excess return</a:t>
                </a:r>
                <a:r>
                  <a:rPr lang="en-US" baseline="0"/>
                  <a:t> Market (monthly)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62543"/>
        <c:crosses val="autoZero"/>
        <c:crossBetween val="midCat"/>
      </c:valAx>
      <c:valAx>
        <c:axId val="846562543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Excess</a:t>
                </a:r>
                <a:r>
                  <a:rPr lang="en-US" baseline="0"/>
                  <a:t> return Apple (monthly)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0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346074</xdr:colOff>
      <xdr:row>2</xdr:row>
      <xdr:rowOff>127000</xdr:rowOff>
    </xdr:from>
    <xdr:to>
      <xdr:col>9</xdr:col>
      <xdr:colOff>393699</xdr:colOff>
      <xdr:row>25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B88BD-AC66-BA24-5222-5EC2A494C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346074</xdr:colOff>
      <xdr:row>2</xdr:row>
      <xdr:rowOff>127000</xdr:rowOff>
    </xdr:from>
    <xdr:to>
      <xdr:col>9</xdr:col>
      <xdr:colOff>393699</xdr:colOff>
      <xdr:row>25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DC5389-ACD0-45A7-978C-51B0B02F9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3"/>
  <sheetViews>
    <sheetView topLeftCell="A200" workbookViewId="0">
      <selection activeCell="K13" sqref="K13"/>
    </sheetView>
  </sheetViews>
  <sheetFormatPr defaultRowHeight="14.5" x14ac:dyDescent="0.35"/>
  <cols>
    <col min="1" max="1" width="10.7265625" customWidth="1"/>
    <col min="2" max="3" width="10" customWidth="1"/>
  </cols>
  <sheetData>
    <row r="1" spans="1:7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36556</v>
      </c>
      <c r="B2">
        <v>-4.7400000000000005E-2</v>
      </c>
      <c r="C2">
        <v>4.0999999999999995E-3</v>
      </c>
      <c r="D2" s="3">
        <v>9.1185411438345909E-3</v>
      </c>
      <c r="E2" s="4">
        <v>-0.21038615703582764</v>
      </c>
      <c r="F2">
        <f>D2-C2</f>
        <v>5.0185411438345914E-3</v>
      </c>
      <c r="G2">
        <f>E2-C2</f>
        <v>-0.21448615703582763</v>
      </c>
    </row>
    <row r="3" spans="1:7" x14ac:dyDescent="0.35">
      <c r="A3" s="1">
        <v>36585</v>
      </c>
      <c r="B3">
        <v>2.46E-2</v>
      </c>
      <c r="C3">
        <v>4.3E-3</v>
      </c>
      <c r="D3" s="3">
        <v>0.10481927543878555</v>
      </c>
      <c r="E3" s="4">
        <v>0.72681283950805664</v>
      </c>
      <c r="F3" s="4">
        <f t="shared" ref="F3:F66" si="0">D3-C3</f>
        <v>0.10051927543878555</v>
      </c>
      <c r="G3" s="4">
        <f t="shared" ref="G3:G66" si="1">E3-C3</f>
        <v>0.72251283950805667</v>
      </c>
    </row>
    <row r="4" spans="1:7" x14ac:dyDescent="0.35">
      <c r="A4" s="1">
        <v>36616</v>
      </c>
      <c r="B4">
        <v>5.21E-2</v>
      </c>
      <c r="C4">
        <v>4.6999999999999993E-3</v>
      </c>
      <c r="D4" s="3">
        <v>0.18484187126159668</v>
      </c>
      <c r="E4" s="4">
        <v>0.320068359375</v>
      </c>
      <c r="F4" s="4">
        <f t="shared" si="0"/>
        <v>0.18014187126159667</v>
      </c>
      <c r="G4" s="4">
        <f t="shared" si="1"/>
        <v>0.31536835937500002</v>
      </c>
    </row>
    <row r="5" spans="1:7" x14ac:dyDescent="0.35">
      <c r="A5" s="1">
        <v>36644</v>
      </c>
      <c r="B5">
        <v>-6.3899999999999998E-2</v>
      </c>
      <c r="C5">
        <v>4.5999999999999999E-3</v>
      </c>
      <c r="D5" s="3">
        <v>-8.6516335606575012E-2</v>
      </c>
      <c r="E5" s="4">
        <v>5.4928794503211975E-2</v>
      </c>
      <c r="F5" s="4">
        <f t="shared" si="0"/>
        <v>-9.1116335606575005E-2</v>
      </c>
      <c r="G5" s="4">
        <f t="shared" si="1"/>
        <v>5.0328794503211975E-2</v>
      </c>
    </row>
    <row r="6" spans="1:7" x14ac:dyDescent="0.35">
      <c r="A6" s="1">
        <v>36677</v>
      </c>
      <c r="B6">
        <v>-4.3899999999999995E-2</v>
      </c>
      <c r="C6">
        <v>5.0000000000000001E-3</v>
      </c>
      <c r="D6" s="3">
        <v>-0.32292190194129944</v>
      </c>
      <c r="E6" s="4">
        <v>0.28050491213798523</v>
      </c>
      <c r="F6" s="4">
        <f t="shared" si="0"/>
        <v>-0.32792190194129944</v>
      </c>
      <c r="G6" s="4">
        <f t="shared" si="1"/>
        <v>0.27550491213798523</v>
      </c>
    </row>
    <row r="7" spans="1:7" x14ac:dyDescent="0.35">
      <c r="A7" s="1">
        <v>36707</v>
      </c>
      <c r="B7">
        <v>4.6799999999999994E-2</v>
      </c>
      <c r="C7">
        <v>4.0000000000000001E-3</v>
      </c>
      <c r="D7" s="3">
        <v>0.247023805975914</v>
      </c>
      <c r="E7" s="4">
        <v>0.11391018331050873</v>
      </c>
      <c r="F7" s="4">
        <f t="shared" si="0"/>
        <v>0.243023805975914</v>
      </c>
      <c r="G7" s="4">
        <f t="shared" si="1"/>
        <v>0.10991018331050872</v>
      </c>
    </row>
    <row r="8" spans="1:7" x14ac:dyDescent="0.35">
      <c r="A8" s="1">
        <v>36738</v>
      </c>
      <c r="B8">
        <v>-2.4799999999999999E-2</v>
      </c>
      <c r="C8">
        <v>4.7999999999999996E-3</v>
      </c>
      <c r="D8" s="3">
        <v>-2.9832934960722923E-2</v>
      </c>
      <c r="E8" s="4">
        <v>-5.6047197431325912E-2</v>
      </c>
      <c r="F8" s="4">
        <f t="shared" si="0"/>
        <v>-3.4632934960722922E-2</v>
      </c>
      <c r="G8" s="4">
        <f t="shared" si="1"/>
        <v>-6.0847197431325911E-2</v>
      </c>
    </row>
    <row r="9" spans="1:7" x14ac:dyDescent="0.35">
      <c r="A9" s="1">
        <v>36769</v>
      </c>
      <c r="B9">
        <v>7.0300000000000001E-2</v>
      </c>
      <c r="C9">
        <v>5.0000000000000001E-3</v>
      </c>
      <c r="D9" s="3">
        <v>0.19926199316978455</v>
      </c>
      <c r="E9" s="4">
        <v>0.3229166567325592</v>
      </c>
      <c r="F9" s="4">
        <f t="shared" si="0"/>
        <v>0.19426199316978454</v>
      </c>
      <c r="G9" s="4">
        <f t="shared" si="1"/>
        <v>0.3179166567325592</v>
      </c>
    </row>
    <row r="10" spans="1:7" x14ac:dyDescent="0.35">
      <c r="A10" s="1">
        <v>36798</v>
      </c>
      <c r="B10">
        <v>-5.4400000000000004E-2</v>
      </c>
      <c r="C10">
        <v>5.1000000000000004E-3</v>
      </c>
      <c r="D10" s="3">
        <v>-0.57743591070175171</v>
      </c>
      <c r="E10" s="4">
        <v>3.1496062874794006E-2</v>
      </c>
      <c r="F10" s="4">
        <f t="shared" si="0"/>
        <v>-0.5825359107017517</v>
      </c>
      <c r="G10" s="4">
        <f t="shared" si="1"/>
        <v>2.6396062874794006E-2</v>
      </c>
    </row>
    <row r="11" spans="1:7" x14ac:dyDescent="0.35">
      <c r="A11" s="1">
        <v>36830</v>
      </c>
      <c r="B11">
        <v>-2.7799999999999998E-2</v>
      </c>
      <c r="C11">
        <v>5.6000000000000008E-3</v>
      </c>
      <c r="D11" s="3">
        <v>-0.24029126763343811</v>
      </c>
      <c r="E11" s="4">
        <v>-0.24103052914142609</v>
      </c>
      <c r="F11" s="4">
        <f t="shared" si="0"/>
        <v>-0.2458912676334381</v>
      </c>
      <c r="G11" s="4">
        <f t="shared" si="1"/>
        <v>-0.24663052914142608</v>
      </c>
    </row>
    <row r="12" spans="1:7" x14ac:dyDescent="0.35">
      <c r="A12" s="1">
        <v>36860</v>
      </c>
      <c r="B12">
        <v>-0.107</v>
      </c>
      <c r="C12">
        <v>5.1000000000000004E-3</v>
      </c>
      <c r="D12" s="3">
        <v>-0.15654951333999634</v>
      </c>
      <c r="E12" s="4">
        <v>-0.34825244545936584</v>
      </c>
      <c r="F12" s="4">
        <f t="shared" si="0"/>
        <v>-0.16164951333999633</v>
      </c>
      <c r="G12" s="4">
        <f t="shared" si="1"/>
        <v>-0.35335244545936584</v>
      </c>
    </row>
    <row r="13" spans="1:7" x14ac:dyDescent="0.35">
      <c r="A13" s="1">
        <v>36889</v>
      </c>
      <c r="B13">
        <v>1.18E-2</v>
      </c>
      <c r="C13">
        <v>5.0000000000000001E-3</v>
      </c>
      <c r="D13" s="3">
        <v>-9.848485141992569E-2</v>
      </c>
      <c r="E13" s="4">
        <v>-0.1909722238779068</v>
      </c>
      <c r="F13" s="4">
        <f t="shared" si="0"/>
        <v>-0.10348485141992569</v>
      </c>
      <c r="G13" s="4">
        <f t="shared" si="1"/>
        <v>-0.1959722238779068</v>
      </c>
    </row>
    <row r="14" spans="1:7" x14ac:dyDescent="0.35">
      <c r="A14" s="1">
        <v>36922</v>
      </c>
      <c r="B14">
        <v>3.2500000000000001E-2</v>
      </c>
      <c r="C14">
        <v>5.4000000000000003E-3</v>
      </c>
      <c r="D14" s="3">
        <v>0.45378151535987854</v>
      </c>
      <c r="E14" s="4">
        <v>0.57558417320251465</v>
      </c>
      <c r="F14" s="4">
        <f t="shared" si="0"/>
        <v>0.44838151535987852</v>
      </c>
      <c r="G14" s="4">
        <f t="shared" si="1"/>
        <v>0.57018417320251469</v>
      </c>
    </row>
    <row r="15" spans="1:7" x14ac:dyDescent="0.35">
      <c r="A15" s="1">
        <v>36950</v>
      </c>
      <c r="B15">
        <v>-0.1003</v>
      </c>
      <c r="C15">
        <v>3.8E-3</v>
      </c>
      <c r="D15" s="3">
        <v>-0.15606936812400818</v>
      </c>
      <c r="E15" s="4">
        <v>-0.13438256084918976</v>
      </c>
      <c r="F15" s="4">
        <f t="shared" si="0"/>
        <v>-0.15986936812400818</v>
      </c>
      <c r="G15" s="4">
        <f t="shared" si="1"/>
        <v>-0.13818256084918976</v>
      </c>
    </row>
    <row r="16" spans="1:7" x14ac:dyDescent="0.35">
      <c r="A16" s="1">
        <v>36980</v>
      </c>
      <c r="B16">
        <v>-7.2499999999999995E-2</v>
      </c>
      <c r="C16">
        <v>4.1999999999999997E-3</v>
      </c>
      <c r="D16" s="3">
        <v>0.20931504666805267</v>
      </c>
      <c r="E16" s="4">
        <v>0.45279720425605774</v>
      </c>
      <c r="F16" s="4">
        <f t="shared" si="0"/>
        <v>0.20511504666805266</v>
      </c>
      <c r="G16" s="4">
        <f t="shared" si="1"/>
        <v>0.44859720425605776</v>
      </c>
    </row>
    <row r="17" spans="1:7" x14ac:dyDescent="0.35">
      <c r="A17" s="1">
        <v>37011</v>
      </c>
      <c r="B17">
        <v>7.9299999999999995E-2</v>
      </c>
      <c r="C17">
        <v>3.9000000000000003E-3</v>
      </c>
      <c r="D17" s="3">
        <v>0.15496149659156799</v>
      </c>
      <c r="E17" s="4">
        <v>0.28308066725730896</v>
      </c>
      <c r="F17" s="4">
        <f t="shared" si="0"/>
        <v>0.15106149659156801</v>
      </c>
      <c r="G17" s="4">
        <f t="shared" si="1"/>
        <v>0.27918066725730895</v>
      </c>
    </row>
    <row r="18" spans="1:7" x14ac:dyDescent="0.35">
      <c r="A18" s="1">
        <v>37042</v>
      </c>
      <c r="B18">
        <v>6.8000000000000005E-3</v>
      </c>
      <c r="C18">
        <v>3.2000000000000002E-3</v>
      </c>
      <c r="D18" s="3">
        <v>-0.21734009683132172</v>
      </c>
      <c r="E18" s="4">
        <v>2.7731062844395638E-2</v>
      </c>
      <c r="F18" s="4">
        <f t="shared" si="0"/>
        <v>-0.22054009683132172</v>
      </c>
      <c r="G18" s="4">
        <f t="shared" si="1"/>
        <v>2.4531062844395636E-2</v>
      </c>
    </row>
    <row r="19" spans="1:7" x14ac:dyDescent="0.35">
      <c r="A19" s="1">
        <v>37071</v>
      </c>
      <c r="B19">
        <v>-1.9400000000000001E-2</v>
      </c>
      <c r="C19">
        <v>2.8000000000000004E-3</v>
      </c>
      <c r="D19" s="3">
        <v>0.16541348397731781</v>
      </c>
      <c r="E19" s="4">
        <v>8.340146392583847E-2</v>
      </c>
      <c r="F19" s="4">
        <f t="shared" si="0"/>
        <v>0.16261348397731781</v>
      </c>
      <c r="G19" s="4">
        <f t="shared" si="1"/>
        <v>8.0601463925838474E-2</v>
      </c>
    </row>
    <row r="20" spans="1:7" x14ac:dyDescent="0.35">
      <c r="A20" s="1">
        <v>37103</v>
      </c>
      <c r="B20">
        <v>-2.1299999999999999E-2</v>
      </c>
      <c r="C20">
        <v>3.0000000000000001E-3</v>
      </c>
      <c r="D20" s="3">
        <v>-0.1918279230594635</v>
      </c>
      <c r="E20" s="4">
        <v>-0.12776277959346771</v>
      </c>
      <c r="F20" s="4">
        <f t="shared" si="0"/>
        <v>-0.1948279230594635</v>
      </c>
      <c r="G20" s="4">
        <f t="shared" si="1"/>
        <v>-0.13076277959346772</v>
      </c>
    </row>
    <row r="21" spans="1:7" x14ac:dyDescent="0.35">
      <c r="A21" s="1">
        <v>37134</v>
      </c>
      <c r="B21">
        <v>-6.4000000000000001E-2</v>
      </c>
      <c r="C21">
        <v>3.0999999999999999E-3</v>
      </c>
      <c r="D21" s="3">
        <v>-1.2772840447723866E-2</v>
      </c>
      <c r="E21" s="4">
        <v>4.7095149755477905E-2</v>
      </c>
      <c r="F21" s="4">
        <f t="shared" si="0"/>
        <v>-1.5872840447723864E-2</v>
      </c>
      <c r="G21" s="4">
        <f t="shared" si="1"/>
        <v>4.3995149755477907E-2</v>
      </c>
    </row>
    <row r="22" spans="1:7" x14ac:dyDescent="0.35">
      <c r="A22" s="1">
        <v>37162</v>
      </c>
      <c r="B22">
        <v>-9.2399999999999996E-2</v>
      </c>
      <c r="C22">
        <v>2.8000000000000004E-3</v>
      </c>
      <c r="D22" s="3">
        <v>-0.16388136148452759</v>
      </c>
      <c r="E22" s="4">
        <v>-0.35143432021141052</v>
      </c>
      <c r="F22" s="4">
        <f t="shared" si="0"/>
        <v>-0.16668136148452758</v>
      </c>
      <c r="G22" s="4">
        <f t="shared" si="1"/>
        <v>-0.35423432021141055</v>
      </c>
    </row>
    <row r="23" spans="1:7" x14ac:dyDescent="0.35">
      <c r="A23" s="1">
        <v>37195</v>
      </c>
      <c r="B23">
        <v>2.4799999999999999E-2</v>
      </c>
      <c r="C23">
        <v>2.2000000000000001E-3</v>
      </c>
      <c r="D23" s="3">
        <v>0.13217273354530334</v>
      </c>
      <c r="E23" s="4">
        <v>0.56024760007858276</v>
      </c>
      <c r="F23" s="4">
        <f t="shared" si="0"/>
        <v>0.12997273354530334</v>
      </c>
      <c r="G23" s="4">
        <f t="shared" si="1"/>
        <v>0.55804760007858278</v>
      </c>
    </row>
    <row r="24" spans="1:7" x14ac:dyDescent="0.35">
      <c r="A24" s="1">
        <v>37225</v>
      </c>
      <c r="B24">
        <v>7.5300000000000006E-2</v>
      </c>
      <c r="C24">
        <v>1.7000000000000001E-3</v>
      </c>
      <c r="D24" s="3">
        <v>0.21298405528068542</v>
      </c>
      <c r="E24" s="4">
        <v>0.27484831213951111</v>
      </c>
      <c r="F24" s="4">
        <f t="shared" si="0"/>
        <v>0.21128405528068542</v>
      </c>
      <c r="G24" s="4">
        <f t="shared" si="1"/>
        <v>0.27314831213951113</v>
      </c>
    </row>
    <row r="25" spans="1:7" x14ac:dyDescent="0.35">
      <c r="A25" s="1">
        <v>37256</v>
      </c>
      <c r="B25">
        <v>1.61E-2</v>
      </c>
      <c r="C25">
        <v>1.5E-3</v>
      </c>
      <c r="D25" s="3">
        <v>2.816903218626976E-2</v>
      </c>
      <c r="E25" s="4">
        <v>0.22437778115272522</v>
      </c>
      <c r="F25" s="4">
        <f t="shared" si="0"/>
        <v>2.6669032186269759E-2</v>
      </c>
      <c r="G25" s="4">
        <f t="shared" si="1"/>
        <v>0.22287778115272522</v>
      </c>
    </row>
    <row r="26" spans="1:7" x14ac:dyDescent="0.35">
      <c r="A26" s="1">
        <v>37287</v>
      </c>
      <c r="B26">
        <v>-1.44E-2</v>
      </c>
      <c r="C26">
        <v>1.4000000000000002E-3</v>
      </c>
      <c r="D26" s="3">
        <v>0.12876711785793304</v>
      </c>
      <c r="E26" s="4">
        <v>-1.7339367419481277E-2</v>
      </c>
      <c r="F26" s="4">
        <f t="shared" si="0"/>
        <v>0.12736711785793303</v>
      </c>
      <c r="G26" s="4">
        <f t="shared" si="1"/>
        <v>-1.8739367419481276E-2</v>
      </c>
    </row>
    <row r="27" spans="1:7" x14ac:dyDescent="0.35">
      <c r="A27" s="1">
        <v>37315</v>
      </c>
      <c r="B27">
        <v>-2.3E-2</v>
      </c>
      <c r="C27">
        <v>1.2999999999999999E-3</v>
      </c>
      <c r="D27" s="3">
        <v>-0.12216822803020477</v>
      </c>
      <c r="E27" s="4">
        <v>-0.22406449913978577</v>
      </c>
      <c r="F27" s="4">
        <f t="shared" si="0"/>
        <v>-0.12346822803020477</v>
      </c>
      <c r="G27" s="4">
        <f t="shared" si="1"/>
        <v>-0.22536449913978576</v>
      </c>
    </row>
    <row r="28" spans="1:7" x14ac:dyDescent="0.35">
      <c r="A28" s="1">
        <v>37343</v>
      </c>
      <c r="B28">
        <v>4.24E-2</v>
      </c>
      <c r="C28">
        <v>1.2999999999999999E-3</v>
      </c>
      <c r="D28" s="3">
        <v>9.0783372521400452E-2</v>
      </c>
      <c r="E28" s="4">
        <v>-0.13036654889583588</v>
      </c>
      <c r="F28" s="4">
        <f t="shared" si="0"/>
        <v>8.9483372521400456E-2</v>
      </c>
      <c r="G28" s="4">
        <f t="shared" si="1"/>
        <v>-0.13166654889583587</v>
      </c>
    </row>
    <row r="29" spans="1:7" x14ac:dyDescent="0.35">
      <c r="A29" s="1">
        <v>37376</v>
      </c>
      <c r="B29">
        <v>-5.21E-2</v>
      </c>
      <c r="C29">
        <v>1.5E-3</v>
      </c>
      <c r="D29" s="3">
        <v>2.5348559021949768E-2</v>
      </c>
      <c r="E29" s="4">
        <v>-0.21528401970863342</v>
      </c>
      <c r="F29" s="4">
        <f t="shared" si="0"/>
        <v>2.3848559021949767E-2</v>
      </c>
      <c r="G29" s="4">
        <f t="shared" si="1"/>
        <v>-0.21678401970863342</v>
      </c>
    </row>
    <row r="30" spans="1:7" x14ac:dyDescent="0.35">
      <c r="A30" s="1">
        <v>37407</v>
      </c>
      <c r="B30">
        <v>-1.3600000000000001E-2</v>
      </c>
      <c r="C30">
        <v>1.4000000000000002E-3</v>
      </c>
      <c r="D30" s="3">
        <v>-3.9967086166143417E-2</v>
      </c>
      <c r="E30" s="4">
        <v>-3.8782022893428802E-2</v>
      </c>
      <c r="F30" s="4">
        <f t="shared" si="0"/>
        <v>-4.1367086166143416E-2</v>
      </c>
      <c r="G30" s="4">
        <f t="shared" si="1"/>
        <v>-4.0182022893428801E-2</v>
      </c>
    </row>
    <row r="31" spans="1:7" x14ac:dyDescent="0.35">
      <c r="A31" s="1">
        <v>37435</v>
      </c>
      <c r="B31">
        <v>-7.2300000000000003E-2</v>
      </c>
      <c r="C31">
        <v>1.2999999999999999E-3</v>
      </c>
      <c r="D31" s="3">
        <v>-0.23948498070240021</v>
      </c>
      <c r="E31" s="4">
        <v>-0.48655107617378235</v>
      </c>
      <c r="F31" s="4">
        <f t="shared" si="0"/>
        <v>-0.2407849807024002</v>
      </c>
      <c r="G31" s="4">
        <f t="shared" si="1"/>
        <v>-0.48785107617378237</v>
      </c>
    </row>
    <row r="32" spans="1:7" x14ac:dyDescent="0.35">
      <c r="A32" s="1">
        <v>37468</v>
      </c>
      <c r="B32">
        <v>-8.1900000000000001E-2</v>
      </c>
      <c r="C32">
        <v>1.5E-3</v>
      </c>
      <c r="D32" s="3">
        <v>-0.13882613182067871</v>
      </c>
      <c r="E32" s="4">
        <v>-0.35564613342285156</v>
      </c>
      <c r="F32" s="4">
        <f t="shared" si="0"/>
        <v>-0.14032613182067871</v>
      </c>
      <c r="G32" s="4">
        <f t="shared" si="1"/>
        <v>-0.35714613342285156</v>
      </c>
    </row>
    <row r="33" spans="1:7" x14ac:dyDescent="0.35">
      <c r="A33" s="1">
        <v>37498</v>
      </c>
      <c r="B33">
        <v>5.0000000000000001E-3</v>
      </c>
      <c r="C33">
        <v>1.4000000000000002E-3</v>
      </c>
      <c r="D33" s="3">
        <v>-3.3420722931623459E-2</v>
      </c>
      <c r="E33" s="4">
        <v>-8.7118282914161682E-2</v>
      </c>
      <c r="F33" s="4">
        <f t="shared" si="0"/>
        <v>-3.4820722931623457E-2</v>
      </c>
      <c r="G33" s="4">
        <f t="shared" si="1"/>
        <v>-8.8518282914161681E-2</v>
      </c>
    </row>
    <row r="34" spans="1:7" x14ac:dyDescent="0.35">
      <c r="A34" s="1">
        <v>37529</v>
      </c>
      <c r="B34">
        <v>-0.10339999999999999</v>
      </c>
      <c r="C34">
        <v>1.4000000000000002E-3</v>
      </c>
      <c r="D34" s="3">
        <v>-1.6949152573943138E-2</v>
      </c>
      <c r="E34" s="4">
        <v>-0.1529448926448822</v>
      </c>
      <c r="F34" s="4">
        <f t="shared" si="0"/>
        <v>-1.8349152573943137E-2</v>
      </c>
      <c r="G34" s="4">
        <f t="shared" si="1"/>
        <v>-0.15434489264488221</v>
      </c>
    </row>
    <row r="35" spans="1:7" x14ac:dyDescent="0.35">
      <c r="A35" s="1">
        <v>37560</v>
      </c>
      <c r="B35">
        <v>7.8399999999999997E-2</v>
      </c>
      <c r="C35">
        <v>1.4000000000000002E-3</v>
      </c>
      <c r="D35" s="3">
        <v>0.10827583819627762</v>
      </c>
      <c r="E35" s="4">
        <v>0.39018681645393372</v>
      </c>
      <c r="F35" s="4">
        <f t="shared" si="0"/>
        <v>0.10687583819627762</v>
      </c>
      <c r="G35" s="4">
        <f t="shared" si="1"/>
        <v>0.3887868164539337</v>
      </c>
    </row>
    <row r="36" spans="1:7" x14ac:dyDescent="0.35">
      <c r="A36" s="1">
        <v>37589</v>
      </c>
      <c r="B36">
        <v>5.96E-2</v>
      </c>
      <c r="C36">
        <v>1.1999999999999999E-3</v>
      </c>
      <c r="D36" s="3">
        <v>-3.5469800233840942E-2</v>
      </c>
      <c r="E36" s="4">
        <v>0.43949577212333679</v>
      </c>
      <c r="F36" s="4">
        <f t="shared" si="0"/>
        <v>-3.6669800233840942E-2</v>
      </c>
      <c r="G36" s="4">
        <f t="shared" si="1"/>
        <v>0.43829577212333681</v>
      </c>
    </row>
    <row r="37" spans="1:7" x14ac:dyDescent="0.35">
      <c r="A37" s="1">
        <v>37621</v>
      </c>
      <c r="B37">
        <v>-5.7599999999999998E-2</v>
      </c>
      <c r="C37">
        <v>1.1000000000000001E-3</v>
      </c>
      <c r="D37" s="3">
        <v>-7.548387348651886E-2</v>
      </c>
      <c r="E37" s="4">
        <v>-0.32807934284210205</v>
      </c>
      <c r="F37" s="4">
        <f t="shared" si="0"/>
        <v>-7.6583873486518864E-2</v>
      </c>
      <c r="G37" s="4">
        <f t="shared" si="1"/>
        <v>-0.32917934284210204</v>
      </c>
    </row>
    <row r="38" spans="1:7" x14ac:dyDescent="0.35">
      <c r="A38" s="1">
        <v>37652</v>
      </c>
      <c r="B38">
        <v>-2.5699999999999997E-2</v>
      </c>
      <c r="C38">
        <v>1E-3</v>
      </c>
      <c r="D38" s="3">
        <v>2.0934916101396084E-3</v>
      </c>
      <c r="E38" s="4">
        <v>-0.10338839888572693</v>
      </c>
      <c r="F38" s="4">
        <f t="shared" si="0"/>
        <v>1.0934916101396084E-3</v>
      </c>
      <c r="G38" s="4">
        <f t="shared" si="1"/>
        <v>-0.10438839888572693</v>
      </c>
    </row>
    <row r="39" spans="1:7" x14ac:dyDescent="0.35">
      <c r="A39" s="1">
        <v>37680</v>
      </c>
      <c r="B39">
        <v>-1.8799999999999997E-2</v>
      </c>
      <c r="C39">
        <v>8.9999999999999998E-4</v>
      </c>
      <c r="D39" s="3">
        <v>4.526466503739357E-2</v>
      </c>
      <c r="E39" s="4">
        <v>0.22286824882030487</v>
      </c>
      <c r="F39" s="4">
        <f t="shared" si="0"/>
        <v>4.4364665037393572E-2</v>
      </c>
      <c r="G39" s="4">
        <f t="shared" si="1"/>
        <v>0.22196824882030486</v>
      </c>
    </row>
    <row r="40" spans="1:7" x14ac:dyDescent="0.35">
      <c r="A40" s="1">
        <v>37711</v>
      </c>
      <c r="B40">
        <v>1.09E-2</v>
      </c>
      <c r="C40">
        <v>1E-3</v>
      </c>
      <c r="D40" s="3">
        <v>-5.7961352169513702E-2</v>
      </c>
      <c r="E40" s="4">
        <v>2.0602237433195114E-2</v>
      </c>
      <c r="F40" s="4">
        <f t="shared" si="0"/>
        <v>-5.8961352169513703E-2</v>
      </c>
      <c r="G40" s="4">
        <f t="shared" si="1"/>
        <v>1.9602237433195113E-2</v>
      </c>
    </row>
    <row r="41" spans="1:7" x14ac:dyDescent="0.35">
      <c r="A41" s="1">
        <v>37741</v>
      </c>
      <c r="B41">
        <v>8.1799999999999998E-2</v>
      </c>
      <c r="C41">
        <v>1E-3</v>
      </c>
      <c r="D41" s="3">
        <v>5.6577031500637531E-3</v>
      </c>
      <c r="E41" s="4">
        <v>0.10791928321123123</v>
      </c>
      <c r="F41" s="4">
        <f t="shared" si="0"/>
        <v>4.6577031500637531E-3</v>
      </c>
      <c r="G41" s="4">
        <f t="shared" si="1"/>
        <v>0.10691928321123123</v>
      </c>
    </row>
    <row r="42" spans="1:7" x14ac:dyDescent="0.35">
      <c r="A42" s="1">
        <v>37771</v>
      </c>
      <c r="B42">
        <v>6.0499999999999998E-2</v>
      </c>
      <c r="C42">
        <v>8.9999999999999998E-4</v>
      </c>
      <c r="D42" s="3">
        <v>0.26230663061141968</v>
      </c>
      <c r="E42" s="4">
        <v>0.83391726016998291</v>
      </c>
      <c r="F42" s="4">
        <f t="shared" si="0"/>
        <v>0.26140663061141967</v>
      </c>
      <c r="G42" s="4">
        <f t="shared" si="1"/>
        <v>0.8330172601699829</v>
      </c>
    </row>
    <row r="43" spans="1:7" x14ac:dyDescent="0.35">
      <c r="A43" s="1">
        <v>37802</v>
      </c>
      <c r="B43">
        <v>1.4199999999999999E-2</v>
      </c>
      <c r="C43">
        <v>1E-3</v>
      </c>
      <c r="D43" s="3">
        <v>6.1838366091251373E-2</v>
      </c>
      <c r="E43" s="4">
        <v>-0.12457012385129929</v>
      </c>
      <c r="F43" s="4">
        <f t="shared" si="0"/>
        <v>6.0838366091251372E-2</v>
      </c>
      <c r="G43" s="4">
        <f t="shared" si="1"/>
        <v>-0.12557012385129929</v>
      </c>
    </row>
    <row r="44" spans="1:7" x14ac:dyDescent="0.35">
      <c r="A44" s="1">
        <v>37833</v>
      </c>
      <c r="B44">
        <v>2.3300000000000001E-2</v>
      </c>
      <c r="C44">
        <v>7.000000000000001E-4</v>
      </c>
      <c r="D44" s="3">
        <v>0.10598114132881165</v>
      </c>
      <c r="E44" s="4">
        <v>-0.16673940420150757</v>
      </c>
      <c r="F44" s="4">
        <f t="shared" si="0"/>
        <v>0.10528114132881164</v>
      </c>
      <c r="G44" s="4">
        <f t="shared" si="1"/>
        <v>-0.16743940420150757</v>
      </c>
    </row>
    <row r="45" spans="1:7" x14ac:dyDescent="0.35">
      <c r="A45" s="1">
        <v>37862</v>
      </c>
      <c r="B45">
        <v>2.3300000000000001E-2</v>
      </c>
      <c r="C45">
        <v>7.000000000000001E-4</v>
      </c>
      <c r="D45" s="3">
        <v>7.2580680251121521E-2</v>
      </c>
      <c r="E45" s="4">
        <v>-4.8192773014307022E-2</v>
      </c>
      <c r="F45" s="4">
        <f t="shared" si="0"/>
        <v>7.1880680251121515E-2</v>
      </c>
      <c r="G45" s="4">
        <f t="shared" si="1"/>
        <v>-4.8892773014307021E-2</v>
      </c>
    </row>
    <row r="46" spans="1:7" x14ac:dyDescent="0.35">
      <c r="A46" s="1">
        <v>37894</v>
      </c>
      <c r="B46">
        <v>-1.24E-2</v>
      </c>
      <c r="C46">
        <v>8.0000000000000004E-4</v>
      </c>
      <c r="D46" s="3">
        <v>-8.3591386675834656E-2</v>
      </c>
      <c r="E46" s="4">
        <v>-0.12107869237661362</v>
      </c>
      <c r="F46" s="4">
        <f t="shared" si="0"/>
        <v>-8.4391386675834651E-2</v>
      </c>
      <c r="G46" s="4">
        <f t="shared" si="1"/>
        <v>-0.12187869237661361</v>
      </c>
    </row>
    <row r="47" spans="1:7" x14ac:dyDescent="0.35">
      <c r="A47" s="1">
        <v>37925</v>
      </c>
      <c r="B47">
        <v>6.08E-2</v>
      </c>
      <c r="C47">
        <v>7.000000000000001E-4</v>
      </c>
      <c r="D47" s="3">
        <v>0.10472973436117172</v>
      </c>
      <c r="E47" s="4">
        <v>0.1070757657289505</v>
      </c>
      <c r="F47" s="4">
        <f t="shared" si="0"/>
        <v>0.10402973436117172</v>
      </c>
      <c r="G47" s="4">
        <f t="shared" si="1"/>
        <v>0.10637576572895049</v>
      </c>
    </row>
    <row r="48" spans="1:7" x14ac:dyDescent="0.35">
      <c r="A48" s="1">
        <v>37953</v>
      </c>
      <c r="B48">
        <v>1.3500000000000002E-2</v>
      </c>
      <c r="C48">
        <v>7.000000000000001E-4</v>
      </c>
      <c r="D48" s="3">
        <v>-8.6500637233257294E-2</v>
      </c>
      <c r="E48" s="4">
        <v>0.20079180598258972</v>
      </c>
      <c r="F48" s="4">
        <f t="shared" si="0"/>
        <v>-8.72006372332573E-2</v>
      </c>
      <c r="G48" s="4">
        <f t="shared" si="1"/>
        <v>0.20009180598258972</v>
      </c>
    </row>
    <row r="49" spans="1:7" x14ac:dyDescent="0.35">
      <c r="A49" s="1">
        <v>37986</v>
      </c>
      <c r="B49">
        <v>4.2900000000000001E-2</v>
      </c>
      <c r="C49">
        <v>8.0000000000000004E-4</v>
      </c>
      <c r="D49" s="3">
        <v>2.1999090909957886E-2</v>
      </c>
      <c r="E49" s="4">
        <v>9.2793278396129608E-2</v>
      </c>
      <c r="F49" s="4">
        <f t="shared" si="0"/>
        <v>2.1199090909957887E-2</v>
      </c>
      <c r="G49" s="4">
        <f t="shared" si="1"/>
        <v>9.1993278396129613E-2</v>
      </c>
    </row>
    <row r="50" spans="1:7" x14ac:dyDescent="0.35">
      <c r="A50" s="1">
        <v>38016</v>
      </c>
      <c r="B50">
        <v>2.1499999999999998E-2</v>
      </c>
      <c r="C50">
        <v>7.000000000000001E-4</v>
      </c>
      <c r="D50" s="3">
        <v>5.5685475468635559E-2</v>
      </c>
      <c r="E50" s="4">
        <v>-4.0948309004306793E-2</v>
      </c>
      <c r="F50" s="4">
        <f t="shared" si="0"/>
        <v>5.498547546863556E-2</v>
      </c>
      <c r="G50" s="4">
        <f t="shared" si="1"/>
        <v>-4.1648309004306792E-2</v>
      </c>
    </row>
    <row r="51" spans="1:7" x14ac:dyDescent="0.35">
      <c r="A51" s="1">
        <v>38044</v>
      </c>
      <c r="B51">
        <v>1.3999999999999999E-2</v>
      </c>
      <c r="C51">
        <v>5.9999999999999995E-4</v>
      </c>
      <c r="D51" s="3">
        <v>6.0283716768026352E-2</v>
      </c>
      <c r="E51" s="4">
        <v>0</v>
      </c>
      <c r="F51" s="4">
        <f t="shared" si="0"/>
        <v>5.9683716768026349E-2</v>
      </c>
      <c r="G51" s="4">
        <f t="shared" si="1"/>
        <v>-5.9999999999999995E-4</v>
      </c>
    </row>
    <row r="52" spans="1:7" x14ac:dyDescent="0.35">
      <c r="A52" s="1">
        <v>38077</v>
      </c>
      <c r="B52">
        <v>-1.32E-2</v>
      </c>
      <c r="C52">
        <v>8.9999999999999998E-4</v>
      </c>
      <c r="D52" s="3">
        <v>0.13043481111526489</v>
      </c>
      <c r="E52" s="4">
        <v>0.18651683628559113</v>
      </c>
      <c r="F52" s="4">
        <f t="shared" si="0"/>
        <v>0.12953481111526488</v>
      </c>
      <c r="G52" s="4">
        <f t="shared" si="1"/>
        <v>0.18561683628559111</v>
      </c>
    </row>
    <row r="53" spans="1:7" x14ac:dyDescent="0.35">
      <c r="A53" s="1">
        <v>38107</v>
      </c>
      <c r="B53">
        <v>-1.8100000000000002E-2</v>
      </c>
      <c r="C53">
        <v>8.0000000000000004E-4</v>
      </c>
      <c r="D53" s="3">
        <v>-4.6597640961408615E-2</v>
      </c>
      <c r="E53" s="4">
        <v>-0.22272723913192749</v>
      </c>
      <c r="F53" s="4">
        <f t="shared" si="0"/>
        <v>-4.7397640961408617E-2</v>
      </c>
      <c r="G53" s="4">
        <f t="shared" si="1"/>
        <v>-0.22352723913192749</v>
      </c>
    </row>
    <row r="54" spans="1:7" x14ac:dyDescent="0.35">
      <c r="A54" s="1">
        <v>38135</v>
      </c>
      <c r="B54">
        <v>1.18E-2</v>
      </c>
      <c r="C54">
        <v>5.9999999999999995E-4</v>
      </c>
      <c r="D54" s="3">
        <v>8.8440604507923126E-2</v>
      </c>
      <c r="E54" s="4">
        <v>0.14278753101825714</v>
      </c>
      <c r="F54" s="4">
        <f t="shared" si="0"/>
        <v>8.7840604507923123E-2</v>
      </c>
      <c r="G54" s="4">
        <f t="shared" si="1"/>
        <v>0.14218753101825715</v>
      </c>
    </row>
    <row r="55" spans="1:7" x14ac:dyDescent="0.35">
      <c r="A55" s="1">
        <v>38168</v>
      </c>
      <c r="B55">
        <v>1.8500000000000003E-2</v>
      </c>
      <c r="C55">
        <v>8.0000000000000004E-4</v>
      </c>
      <c r="D55" s="3">
        <v>0.15965792536735535</v>
      </c>
      <c r="E55" s="4">
        <v>-0.12707895040512085</v>
      </c>
      <c r="F55" s="4">
        <f t="shared" si="0"/>
        <v>0.15885792536735535</v>
      </c>
      <c r="G55" s="4">
        <f t="shared" si="1"/>
        <v>-0.12787895040512084</v>
      </c>
    </row>
    <row r="56" spans="1:7" x14ac:dyDescent="0.35">
      <c r="A56" s="1">
        <v>38198</v>
      </c>
      <c r="B56">
        <v>-4.0399999999999998E-2</v>
      </c>
      <c r="C56">
        <v>1E-3</v>
      </c>
      <c r="D56" s="3">
        <v>-6.1463047750294209E-3</v>
      </c>
      <c r="E56" s="4">
        <v>-0.24670246243476868</v>
      </c>
      <c r="F56" s="4">
        <f t="shared" si="0"/>
        <v>-7.1463047750294209E-3</v>
      </c>
      <c r="G56" s="4">
        <f t="shared" si="1"/>
        <v>-0.24770246243476868</v>
      </c>
    </row>
    <row r="57" spans="1:7" x14ac:dyDescent="0.35">
      <c r="A57" s="1">
        <v>38230</v>
      </c>
      <c r="B57">
        <v>7.000000000000001E-4</v>
      </c>
      <c r="C57">
        <v>1.1000000000000001E-3</v>
      </c>
      <c r="D57" s="3">
        <v>6.648118793964386E-2</v>
      </c>
      <c r="E57" s="4">
        <v>-0.19195850193500519</v>
      </c>
      <c r="F57" s="4">
        <f t="shared" si="0"/>
        <v>6.5381187939643856E-2</v>
      </c>
      <c r="G57" s="4">
        <f t="shared" si="1"/>
        <v>-0.19305850193500518</v>
      </c>
    </row>
    <row r="58" spans="1:7" x14ac:dyDescent="0.35">
      <c r="A58" s="1">
        <v>38260</v>
      </c>
      <c r="B58">
        <v>1.6E-2</v>
      </c>
      <c r="C58">
        <v>1.1000000000000001E-3</v>
      </c>
      <c r="D58" s="3">
        <v>0.12351400405168533</v>
      </c>
      <c r="E58" s="4">
        <v>0.16532908380031586</v>
      </c>
      <c r="F58" s="4">
        <f t="shared" si="0"/>
        <v>0.12241400405168533</v>
      </c>
      <c r="G58" s="4">
        <f t="shared" si="1"/>
        <v>0.16422908380031587</v>
      </c>
    </row>
    <row r="59" spans="1:7" x14ac:dyDescent="0.35">
      <c r="A59" s="1">
        <v>38289</v>
      </c>
      <c r="B59">
        <v>1.4199999999999999E-2</v>
      </c>
      <c r="C59">
        <v>1.1000000000000001E-3</v>
      </c>
      <c r="D59" s="3">
        <v>0.3522581160068512</v>
      </c>
      <c r="E59" s="4">
        <v>-3.4435391426086426E-3</v>
      </c>
      <c r="F59" s="4">
        <f t="shared" si="0"/>
        <v>0.35115811600685121</v>
      </c>
      <c r="G59" s="4">
        <f t="shared" si="1"/>
        <v>-4.5435391426086429E-3</v>
      </c>
    </row>
    <row r="60" spans="1:7" x14ac:dyDescent="0.35">
      <c r="A60" s="1">
        <v>38321</v>
      </c>
      <c r="B60">
        <v>4.53E-2</v>
      </c>
      <c r="C60">
        <v>1.5E-3</v>
      </c>
      <c r="D60" s="3">
        <v>0.27958017587661743</v>
      </c>
      <c r="E60" s="4">
        <v>0.32204553484916687</v>
      </c>
      <c r="F60" s="4">
        <f t="shared" si="0"/>
        <v>0.27808017587661743</v>
      </c>
      <c r="G60" s="4">
        <f t="shared" si="1"/>
        <v>0.32054553484916687</v>
      </c>
    </row>
    <row r="61" spans="1:7" x14ac:dyDescent="0.35">
      <c r="A61" s="1">
        <v>38352</v>
      </c>
      <c r="B61">
        <v>3.4200000000000001E-2</v>
      </c>
      <c r="C61">
        <v>1.6000000000000001E-3</v>
      </c>
      <c r="D61" s="3">
        <v>-3.9522763341665268E-2</v>
      </c>
      <c r="E61" s="4">
        <v>0.23157347738742828</v>
      </c>
      <c r="F61" s="4">
        <f t="shared" si="0"/>
        <v>-4.1122763341665265E-2</v>
      </c>
      <c r="G61" s="4">
        <f t="shared" si="1"/>
        <v>0.22997347738742829</v>
      </c>
    </row>
    <row r="62" spans="1:7" x14ac:dyDescent="0.35">
      <c r="A62" s="1">
        <v>38383</v>
      </c>
      <c r="B62">
        <v>-2.75E-2</v>
      </c>
      <c r="C62">
        <v>1.6000000000000001E-3</v>
      </c>
      <c r="D62" s="3">
        <v>0.19409938156604767</v>
      </c>
      <c r="E62" s="4">
        <v>-2.7164660394191742E-2</v>
      </c>
      <c r="F62" s="4">
        <f t="shared" si="0"/>
        <v>0.19249938156604768</v>
      </c>
      <c r="G62" s="4">
        <f t="shared" si="1"/>
        <v>-2.8764660394191743E-2</v>
      </c>
    </row>
    <row r="63" spans="1:7" x14ac:dyDescent="0.35">
      <c r="A63" s="1">
        <v>38411</v>
      </c>
      <c r="B63">
        <v>1.8799999999999997E-2</v>
      </c>
      <c r="C63">
        <v>1.6000000000000001E-3</v>
      </c>
      <c r="D63" s="3">
        <v>0.16671000421047211</v>
      </c>
      <c r="E63" s="4">
        <v>0.2648341953754425</v>
      </c>
      <c r="F63" s="4">
        <f t="shared" si="0"/>
        <v>0.16511000421047212</v>
      </c>
      <c r="G63" s="4">
        <f t="shared" si="1"/>
        <v>0.26323419537544251</v>
      </c>
    </row>
    <row r="64" spans="1:7" x14ac:dyDescent="0.35">
      <c r="A64" s="1">
        <v>38442</v>
      </c>
      <c r="B64">
        <v>-1.9400000000000001E-2</v>
      </c>
      <c r="C64">
        <v>2.0999999999999999E-3</v>
      </c>
      <c r="D64" s="3">
        <v>-7.1110174059867859E-2</v>
      </c>
      <c r="E64" s="4">
        <v>-0.18040701746940613</v>
      </c>
      <c r="F64" s="4">
        <f t="shared" si="0"/>
        <v>-7.3210174059867864E-2</v>
      </c>
      <c r="G64" s="4">
        <f t="shared" si="1"/>
        <v>-0.18250701746940612</v>
      </c>
    </row>
    <row r="65" spans="1:7" x14ac:dyDescent="0.35">
      <c r="A65" s="1">
        <v>38471</v>
      </c>
      <c r="B65">
        <v>-2.6099999999999998E-2</v>
      </c>
      <c r="C65">
        <v>2.0999999999999999E-3</v>
      </c>
      <c r="D65" s="3">
        <v>-0.13462916016578674</v>
      </c>
      <c r="E65" s="4">
        <v>-7.7020198106765747E-2</v>
      </c>
      <c r="F65" s="4">
        <f t="shared" si="0"/>
        <v>-0.13672916016578673</v>
      </c>
      <c r="G65" s="4">
        <f t="shared" si="1"/>
        <v>-7.9120198106765752E-2</v>
      </c>
    </row>
    <row r="66" spans="1:7" x14ac:dyDescent="0.35">
      <c r="A66" s="1">
        <v>38503</v>
      </c>
      <c r="B66">
        <v>3.6499999999999998E-2</v>
      </c>
      <c r="C66">
        <v>2.3999999999999998E-3</v>
      </c>
      <c r="D66" s="3">
        <v>0.10258731991052628</v>
      </c>
      <c r="E66" s="4">
        <v>0.23575010895729065</v>
      </c>
      <c r="F66" s="4">
        <f t="shared" si="0"/>
        <v>0.10018731991052628</v>
      </c>
      <c r="G66" s="4">
        <f t="shared" si="1"/>
        <v>0.23335010895729064</v>
      </c>
    </row>
    <row r="67" spans="1:7" x14ac:dyDescent="0.35">
      <c r="A67" s="1">
        <v>38533</v>
      </c>
      <c r="B67">
        <v>5.7999999999999996E-3</v>
      </c>
      <c r="C67">
        <v>2.3E-3</v>
      </c>
      <c r="D67" s="3">
        <v>-7.4178844690322876E-2</v>
      </c>
      <c r="E67" s="4">
        <v>-1.4022179879248142E-2</v>
      </c>
      <c r="F67" s="4">
        <f t="shared" ref="F67:F130" si="2">D67-C67</f>
        <v>-7.6478844690322872E-2</v>
      </c>
      <c r="G67" s="4">
        <f t="shared" ref="G67:G130" si="3">E67-C67</f>
        <v>-1.6322179879248142E-2</v>
      </c>
    </row>
    <row r="68" spans="1:7" x14ac:dyDescent="0.35">
      <c r="A68" s="1">
        <v>38562</v>
      </c>
      <c r="B68">
        <v>3.9199999999999999E-2</v>
      </c>
      <c r="C68">
        <v>2.3999999999999998E-3</v>
      </c>
      <c r="D68" s="3">
        <v>0.15865254402160645</v>
      </c>
      <c r="E68" s="4">
        <v>1.2724556960165501E-2</v>
      </c>
      <c r="F68" s="4">
        <f t="shared" si="2"/>
        <v>0.15625254402160643</v>
      </c>
      <c r="G68" s="4">
        <f t="shared" si="3"/>
        <v>1.0324556960165501E-2</v>
      </c>
    </row>
    <row r="69" spans="1:7" x14ac:dyDescent="0.35">
      <c r="A69" s="1">
        <v>38595</v>
      </c>
      <c r="B69">
        <v>-1.2E-2</v>
      </c>
      <c r="C69">
        <v>3.0000000000000001E-3</v>
      </c>
      <c r="D69" s="3">
        <v>9.9413782358169556E-2</v>
      </c>
      <c r="E69" s="4">
        <v>0.13377682864665985</v>
      </c>
      <c r="F69" s="4">
        <f t="shared" si="2"/>
        <v>9.6413782358169553E-2</v>
      </c>
      <c r="G69" s="4">
        <f t="shared" si="3"/>
        <v>0.13077682864665985</v>
      </c>
    </row>
    <row r="70" spans="1:7" x14ac:dyDescent="0.35">
      <c r="A70" s="1">
        <v>38625</v>
      </c>
      <c r="B70">
        <v>4.7999999999999996E-3</v>
      </c>
      <c r="C70">
        <v>2.8999999999999998E-3</v>
      </c>
      <c r="D70" s="3">
        <v>0.1433141678571701</v>
      </c>
      <c r="E70" s="4">
        <v>0.11734023690223694</v>
      </c>
      <c r="F70" s="4">
        <f t="shared" si="2"/>
        <v>0.14041416785717009</v>
      </c>
      <c r="G70" s="4">
        <f t="shared" si="3"/>
        <v>0.11444023690223694</v>
      </c>
    </row>
    <row r="71" spans="1:7" x14ac:dyDescent="0.35">
      <c r="A71" s="1">
        <v>38656</v>
      </c>
      <c r="B71">
        <v>-2.0400000000000001E-2</v>
      </c>
      <c r="C71">
        <v>2.7000000000000001E-3</v>
      </c>
      <c r="D71" s="3">
        <v>7.4239872395992279E-2</v>
      </c>
      <c r="E71" s="4">
        <v>-2.1295202895998955E-2</v>
      </c>
      <c r="F71" s="4">
        <f t="shared" si="2"/>
        <v>7.1539872395992285E-2</v>
      </c>
      <c r="G71" s="4">
        <f t="shared" si="3"/>
        <v>-2.3995202895998956E-2</v>
      </c>
    </row>
    <row r="72" spans="1:7" x14ac:dyDescent="0.35">
      <c r="A72" s="1">
        <v>38686</v>
      </c>
      <c r="B72">
        <v>3.61E-2</v>
      </c>
      <c r="C72">
        <v>3.0999999999999999E-3</v>
      </c>
      <c r="D72" s="3">
        <v>0.17763499915599823</v>
      </c>
      <c r="E72" s="4">
        <v>7.7496342360973358E-2</v>
      </c>
      <c r="F72" s="4">
        <f t="shared" si="2"/>
        <v>0.17453499915599824</v>
      </c>
      <c r="G72" s="4">
        <f t="shared" si="3"/>
        <v>7.4396342360973353E-2</v>
      </c>
    </row>
    <row r="73" spans="1:7" x14ac:dyDescent="0.35">
      <c r="A73" s="1">
        <v>38716</v>
      </c>
      <c r="B73">
        <v>-2.3999999999999998E-3</v>
      </c>
      <c r="C73">
        <v>3.2000000000000002E-3</v>
      </c>
      <c r="D73" s="3">
        <v>6.0011792927980423E-2</v>
      </c>
      <c r="E73" s="4">
        <v>1.1341627687215805E-2</v>
      </c>
      <c r="F73" s="4">
        <f t="shared" si="2"/>
        <v>5.6811792927980422E-2</v>
      </c>
      <c r="G73" s="4">
        <f t="shared" si="3"/>
        <v>8.1416276872158053E-3</v>
      </c>
    </row>
    <row r="74" spans="1:7" x14ac:dyDescent="0.35">
      <c r="A74" s="1">
        <v>38748</v>
      </c>
      <c r="B74">
        <v>3.0299999999999997E-2</v>
      </c>
      <c r="C74">
        <v>3.4999999999999996E-3</v>
      </c>
      <c r="D74" s="3">
        <v>5.0354748964309692E-2</v>
      </c>
      <c r="E74" s="4">
        <v>0.22975923120975494</v>
      </c>
      <c r="F74" s="4">
        <f t="shared" si="2"/>
        <v>4.6854748964309689E-2</v>
      </c>
      <c r="G74" s="4">
        <f t="shared" si="3"/>
        <v>0.22625923120975494</v>
      </c>
    </row>
    <row r="75" spans="1:7" x14ac:dyDescent="0.35">
      <c r="A75" s="1">
        <v>38776</v>
      </c>
      <c r="B75">
        <v>-3.0000000000000001E-3</v>
      </c>
      <c r="C75">
        <v>3.4000000000000002E-3</v>
      </c>
      <c r="D75" s="3">
        <v>-9.2967875301837921E-2</v>
      </c>
      <c r="E75" s="4">
        <v>4.8265170305967331E-2</v>
      </c>
      <c r="F75" s="4">
        <f t="shared" si="2"/>
        <v>-9.6367875301837921E-2</v>
      </c>
      <c r="G75" s="4">
        <f t="shared" si="3"/>
        <v>4.4865170305967331E-2</v>
      </c>
    </row>
    <row r="76" spans="1:7" x14ac:dyDescent="0.35">
      <c r="A76" s="1">
        <v>38807</v>
      </c>
      <c r="B76">
        <v>1.47E-2</v>
      </c>
      <c r="C76">
        <v>3.7000000000000002E-3</v>
      </c>
      <c r="D76" s="3">
        <v>-8.4245830774307251E-2</v>
      </c>
      <c r="E76" s="4">
        <v>0.21493734419345856</v>
      </c>
      <c r="F76" s="4">
        <f t="shared" si="2"/>
        <v>-8.7945830774307246E-2</v>
      </c>
      <c r="G76" s="4">
        <f t="shared" si="3"/>
        <v>0.21123734419345855</v>
      </c>
    </row>
    <row r="77" spans="1:7" x14ac:dyDescent="0.35">
      <c r="A77" s="1">
        <v>38835</v>
      </c>
      <c r="B77">
        <v>7.3000000000000001E-3</v>
      </c>
      <c r="C77">
        <v>3.5999999999999999E-3</v>
      </c>
      <c r="D77" s="3">
        <v>0.1222895085811615</v>
      </c>
      <c r="E77" s="4">
        <v>2.0607760176062584E-2</v>
      </c>
      <c r="F77" s="4">
        <f t="shared" si="2"/>
        <v>0.11868950858116149</v>
      </c>
      <c r="G77" s="4">
        <f t="shared" si="3"/>
        <v>1.7007760176062585E-2</v>
      </c>
    </row>
    <row r="78" spans="1:7" x14ac:dyDescent="0.35">
      <c r="A78" s="1">
        <v>38868</v>
      </c>
      <c r="B78">
        <v>-3.56E-2</v>
      </c>
      <c r="C78">
        <v>4.3E-3</v>
      </c>
      <c r="D78" s="3">
        <v>-0.15087369084358215</v>
      </c>
      <c r="E78" s="4">
        <v>-0.21355235576629639</v>
      </c>
      <c r="F78" s="4">
        <f t="shared" si="2"/>
        <v>-0.15517369084358215</v>
      </c>
      <c r="G78" s="4">
        <f t="shared" si="3"/>
        <v>-0.21785235576629638</v>
      </c>
    </row>
    <row r="79" spans="1:7" x14ac:dyDescent="0.35">
      <c r="A79" s="1">
        <v>38898</v>
      </c>
      <c r="B79">
        <v>-3.4999999999999996E-3</v>
      </c>
      <c r="C79">
        <v>4.0000000000000001E-3</v>
      </c>
      <c r="D79" s="3">
        <v>-4.18270044028759E-2</v>
      </c>
      <c r="E79" s="4">
        <v>-7.354215532541275E-2</v>
      </c>
      <c r="F79" s="4">
        <f t="shared" si="2"/>
        <v>-4.5827004402875904E-2</v>
      </c>
      <c r="G79" s="4">
        <f t="shared" si="3"/>
        <v>-7.7542155325412754E-2</v>
      </c>
    </row>
    <row r="80" spans="1:7" x14ac:dyDescent="0.35">
      <c r="A80" s="1">
        <v>38929</v>
      </c>
      <c r="B80">
        <v>-7.7000000000000002E-3</v>
      </c>
      <c r="C80">
        <v>4.0000000000000001E-3</v>
      </c>
      <c r="D80" s="3">
        <v>0.18665966391563416</v>
      </c>
      <c r="E80" s="4">
        <v>3.9924774318933487E-2</v>
      </c>
      <c r="F80" s="4">
        <f t="shared" si="2"/>
        <v>0.18265966391563415</v>
      </c>
      <c r="G80" s="4">
        <f t="shared" si="3"/>
        <v>3.5924774318933483E-2</v>
      </c>
    </row>
    <row r="81" spans="1:7" x14ac:dyDescent="0.35">
      <c r="A81" s="1">
        <v>38960</v>
      </c>
      <c r="B81">
        <v>2.0299999999999999E-2</v>
      </c>
      <c r="C81">
        <v>4.1999999999999997E-3</v>
      </c>
      <c r="D81" s="3">
        <v>-1.618608133867383E-3</v>
      </c>
      <c r="E81" s="4">
        <v>0.31481486558914185</v>
      </c>
      <c r="F81" s="4">
        <f t="shared" si="2"/>
        <v>-5.8186081338673827E-3</v>
      </c>
      <c r="G81" s="4">
        <f t="shared" si="3"/>
        <v>0.31061486558914186</v>
      </c>
    </row>
    <row r="82" spans="1:7" x14ac:dyDescent="0.35">
      <c r="A82" s="1">
        <v>38989</v>
      </c>
      <c r="B82">
        <v>1.84E-2</v>
      </c>
      <c r="C82">
        <v>4.0999999999999995E-3</v>
      </c>
      <c r="D82" s="3">
        <v>0.13456161320209503</v>
      </c>
      <c r="E82" s="4">
        <v>1.6489163041114807E-2</v>
      </c>
      <c r="F82" s="4">
        <f t="shared" si="2"/>
        <v>0.13046161320209504</v>
      </c>
      <c r="G82" s="4">
        <f t="shared" si="3"/>
        <v>1.2389163041114808E-2</v>
      </c>
    </row>
    <row r="83" spans="1:7" x14ac:dyDescent="0.35">
      <c r="A83" s="1">
        <v>39021</v>
      </c>
      <c r="B83">
        <v>3.2199999999999999E-2</v>
      </c>
      <c r="C83">
        <v>4.0999999999999995E-3</v>
      </c>
      <c r="D83" s="3">
        <v>5.3260564804077148E-2</v>
      </c>
      <c r="E83" s="4">
        <v>0.17843861877918243</v>
      </c>
      <c r="F83" s="4">
        <f t="shared" si="2"/>
        <v>4.9160564804077149E-2</v>
      </c>
      <c r="G83" s="4">
        <f t="shared" si="3"/>
        <v>0.17433861877918244</v>
      </c>
    </row>
    <row r="84" spans="1:7" x14ac:dyDescent="0.35">
      <c r="A84" s="1">
        <v>39051</v>
      </c>
      <c r="B84">
        <v>1.7000000000000001E-2</v>
      </c>
      <c r="C84">
        <v>4.1999999999999997E-3</v>
      </c>
      <c r="D84" s="3">
        <v>0.13048842549324036</v>
      </c>
      <c r="E84" s="4">
        <v>6.0797326266765594E-2</v>
      </c>
      <c r="F84" s="4">
        <f t="shared" si="2"/>
        <v>0.12628842549324035</v>
      </c>
      <c r="G84" s="4">
        <f t="shared" si="3"/>
        <v>5.6597326266765592E-2</v>
      </c>
    </row>
    <row r="85" spans="1:7" x14ac:dyDescent="0.35">
      <c r="A85" s="1">
        <v>39080</v>
      </c>
      <c r="B85">
        <v>8.5000000000000006E-3</v>
      </c>
      <c r="C85">
        <v>4.0000000000000001E-3</v>
      </c>
      <c r="D85" s="3">
        <v>-7.4405491352081299E-2</v>
      </c>
      <c r="E85" s="4">
        <v>5.4059590911492705E-4</v>
      </c>
      <c r="F85" s="4">
        <f t="shared" si="2"/>
        <v>-7.8405491352081302E-2</v>
      </c>
      <c r="G85" s="4">
        <f t="shared" si="3"/>
        <v>-3.459404090885073E-3</v>
      </c>
    </row>
    <row r="86" spans="1:7" x14ac:dyDescent="0.35">
      <c r="A86" s="1">
        <v>39113</v>
      </c>
      <c r="B86">
        <v>1.38E-2</v>
      </c>
      <c r="C86">
        <v>4.4000000000000003E-3</v>
      </c>
      <c r="D86" s="3">
        <v>1.049041748046875E-2</v>
      </c>
      <c r="E86" s="4">
        <v>-0.17184542119503021</v>
      </c>
      <c r="F86" s="4">
        <f t="shared" si="2"/>
        <v>6.0904174804687497E-3</v>
      </c>
      <c r="G86" s="4">
        <f t="shared" si="3"/>
        <v>-0.1762454211950302</v>
      </c>
    </row>
    <row r="87" spans="1:7" x14ac:dyDescent="0.35">
      <c r="A87" s="1">
        <v>39141</v>
      </c>
      <c r="B87">
        <v>-1.9599999999999999E-2</v>
      </c>
      <c r="C87">
        <v>3.8E-3</v>
      </c>
      <c r="D87" s="3">
        <v>-1.3064303435385227E-2</v>
      </c>
      <c r="E87" s="4">
        <v>1.1419261805713177E-2</v>
      </c>
      <c r="F87" s="4">
        <f t="shared" si="2"/>
        <v>-1.6864303435385228E-2</v>
      </c>
      <c r="G87" s="4">
        <f t="shared" si="3"/>
        <v>7.6192618057131772E-3</v>
      </c>
    </row>
    <row r="88" spans="1:7" x14ac:dyDescent="0.35">
      <c r="A88" s="1">
        <v>39171</v>
      </c>
      <c r="B88">
        <v>7.0999999999999995E-3</v>
      </c>
      <c r="C88">
        <v>4.3E-3</v>
      </c>
      <c r="D88" s="3">
        <v>9.8097190260887146E-2</v>
      </c>
      <c r="E88" s="4">
        <v>-7.1612879633903503E-2</v>
      </c>
      <c r="F88" s="4">
        <f t="shared" si="2"/>
        <v>9.3797190260887148E-2</v>
      </c>
      <c r="G88" s="4">
        <f t="shared" si="3"/>
        <v>-7.5912879633903502E-2</v>
      </c>
    </row>
    <row r="89" spans="1:7" x14ac:dyDescent="0.35">
      <c r="A89" s="1">
        <v>39202</v>
      </c>
      <c r="B89">
        <v>3.49E-2</v>
      </c>
      <c r="C89">
        <v>4.4000000000000003E-3</v>
      </c>
      <c r="D89" s="3">
        <v>7.4157774448394775E-2</v>
      </c>
      <c r="E89" s="4">
        <v>0.14280745387077332</v>
      </c>
      <c r="F89" s="4">
        <f t="shared" si="2"/>
        <v>6.9757774448394774E-2</v>
      </c>
      <c r="G89" s="4">
        <f t="shared" si="3"/>
        <v>0.13840745387077333</v>
      </c>
    </row>
    <row r="90" spans="1:7" x14ac:dyDescent="0.35">
      <c r="A90" s="1">
        <v>39233</v>
      </c>
      <c r="B90">
        <v>3.2300000000000002E-2</v>
      </c>
      <c r="C90">
        <v>4.0999999999999995E-3</v>
      </c>
      <c r="D90" s="3">
        <v>0.21433866024017334</v>
      </c>
      <c r="E90" s="4">
        <v>5.3177274763584137E-2</v>
      </c>
      <c r="F90" s="4">
        <f t="shared" si="2"/>
        <v>0.21023866024017335</v>
      </c>
      <c r="G90" s="4">
        <f t="shared" si="3"/>
        <v>4.9077274763584137E-2</v>
      </c>
    </row>
    <row r="91" spans="1:7" x14ac:dyDescent="0.35">
      <c r="A91" s="1">
        <v>39262</v>
      </c>
      <c r="B91">
        <v>-1.9599999999999999E-2</v>
      </c>
      <c r="C91">
        <v>4.0000000000000001E-3</v>
      </c>
      <c r="D91" s="3">
        <v>7.0054624229669571E-3</v>
      </c>
      <c r="E91" s="4">
        <v>0.19258643686771393</v>
      </c>
      <c r="F91" s="4">
        <f t="shared" si="2"/>
        <v>3.005462422966957E-3</v>
      </c>
      <c r="G91" s="4">
        <f t="shared" si="3"/>
        <v>0.18858643686771392</v>
      </c>
    </row>
    <row r="92" spans="1:7" x14ac:dyDescent="0.35">
      <c r="A92" s="1">
        <v>39294</v>
      </c>
      <c r="B92">
        <v>-3.7200000000000004E-2</v>
      </c>
      <c r="C92">
        <v>4.0000000000000001E-3</v>
      </c>
      <c r="D92" s="3">
        <v>7.964596152305603E-2</v>
      </c>
      <c r="E92" s="4">
        <v>0.10772202163934708</v>
      </c>
      <c r="F92" s="4">
        <f t="shared" si="2"/>
        <v>7.5645961523056027E-2</v>
      </c>
      <c r="G92" s="4">
        <f t="shared" si="3"/>
        <v>0.10372202163934707</v>
      </c>
    </row>
    <row r="93" spans="1:7" x14ac:dyDescent="0.35">
      <c r="A93" s="1">
        <v>39325</v>
      </c>
      <c r="B93">
        <v>9.3999999999999986E-3</v>
      </c>
      <c r="C93">
        <v>4.1999999999999997E-3</v>
      </c>
      <c r="D93" s="3">
        <v>5.1001831889152527E-2</v>
      </c>
      <c r="E93" s="4">
        <v>0.11800703406333923</v>
      </c>
      <c r="F93" s="4">
        <f t="shared" si="2"/>
        <v>4.6801831889152525E-2</v>
      </c>
      <c r="G93" s="4">
        <f t="shared" si="3"/>
        <v>0.11380703406333924</v>
      </c>
    </row>
    <row r="94" spans="1:7" x14ac:dyDescent="0.35">
      <c r="A94" s="1">
        <v>39353</v>
      </c>
      <c r="B94">
        <v>3.2199999999999999E-2</v>
      </c>
      <c r="C94">
        <v>3.2000000000000002E-3</v>
      </c>
      <c r="D94" s="3">
        <v>0.10824672132730484</v>
      </c>
      <c r="E94" s="4">
        <v>6.2548920512199402E-2</v>
      </c>
      <c r="F94" s="4">
        <f t="shared" si="2"/>
        <v>0.10504672132730485</v>
      </c>
      <c r="G94" s="4">
        <f t="shared" si="3"/>
        <v>5.93489205121994E-2</v>
      </c>
    </row>
    <row r="95" spans="1:7" x14ac:dyDescent="0.35">
      <c r="A95" s="1">
        <v>39386</v>
      </c>
      <c r="B95">
        <v>1.7899999999999999E-2</v>
      </c>
      <c r="C95">
        <v>3.2000000000000002E-3</v>
      </c>
      <c r="D95" s="3">
        <v>0.23770114779472351</v>
      </c>
      <c r="E95" s="4">
        <v>-2.3730700835585594E-2</v>
      </c>
      <c r="F95" s="4">
        <f t="shared" si="2"/>
        <v>0.2345011477947235</v>
      </c>
      <c r="G95" s="4">
        <f t="shared" si="3"/>
        <v>-2.6930700835585596E-2</v>
      </c>
    </row>
    <row r="96" spans="1:7" x14ac:dyDescent="0.35">
      <c r="A96" s="1">
        <v>39416</v>
      </c>
      <c r="B96">
        <v>-4.8000000000000001E-2</v>
      </c>
      <c r="C96">
        <v>3.4000000000000002E-3</v>
      </c>
      <c r="D96" s="3">
        <v>-4.0694896131753922E-2</v>
      </c>
      <c r="E96" s="4">
        <v>-0.10853590071201324</v>
      </c>
      <c r="F96" s="4">
        <f t="shared" si="2"/>
        <v>-4.4094896131753922E-2</v>
      </c>
      <c r="G96" s="4">
        <f t="shared" si="3"/>
        <v>-0.11193590071201324</v>
      </c>
    </row>
    <row r="97" spans="1:7" x14ac:dyDescent="0.35">
      <c r="A97" s="1">
        <v>39447</v>
      </c>
      <c r="B97">
        <v>-8.6999999999999994E-3</v>
      </c>
      <c r="C97">
        <v>2.7000000000000001E-3</v>
      </c>
      <c r="D97" s="3">
        <v>8.7037652730941772E-2</v>
      </c>
      <c r="E97" s="4">
        <v>7.8630290925502777E-2</v>
      </c>
      <c r="F97" s="4">
        <f t="shared" si="2"/>
        <v>8.4337652730941778E-2</v>
      </c>
      <c r="G97" s="4">
        <f t="shared" si="3"/>
        <v>7.5930290925502783E-2</v>
      </c>
    </row>
    <row r="98" spans="1:7" x14ac:dyDescent="0.35">
      <c r="A98" s="1">
        <v>39478</v>
      </c>
      <c r="B98">
        <v>-6.3299999999999995E-2</v>
      </c>
      <c r="C98">
        <v>2.0999999999999999E-3</v>
      </c>
      <c r="D98" s="3">
        <v>-0.31663975119590759</v>
      </c>
      <c r="E98" s="4">
        <v>-0.27718988060951233</v>
      </c>
      <c r="F98" s="4">
        <f t="shared" si="2"/>
        <v>-0.31873975119590758</v>
      </c>
      <c r="G98" s="4">
        <f t="shared" si="3"/>
        <v>-0.27928988060951232</v>
      </c>
    </row>
    <row r="99" spans="1:7" x14ac:dyDescent="0.35">
      <c r="A99" s="1">
        <v>39507</v>
      </c>
      <c r="B99">
        <v>-3.0899999999999997E-2</v>
      </c>
      <c r="C99">
        <v>1.2999999999999999E-3</v>
      </c>
      <c r="D99" s="3">
        <v>-7.6388917863368988E-2</v>
      </c>
      <c r="E99" s="4">
        <v>-0.1301342248916626</v>
      </c>
      <c r="F99" s="4">
        <f t="shared" si="2"/>
        <v>-7.7688917863368984E-2</v>
      </c>
      <c r="G99" s="4">
        <f t="shared" si="3"/>
        <v>-0.13143422489166259</v>
      </c>
    </row>
    <row r="100" spans="1:7" x14ac:dyDescent="0.35">
      <c r="A100" s="1">
        <v>39538</v>
      </c>
      <c r="B100">
        <v>-9.3999999999999986E-3</v>
      </c>
      <c r="C100">
        <v>1.7000000000000001E-3</v>
      </c>
      <c r="D100" s="3">
        <v>0.14781637489795685</v>
      </c>
      <c r="E100" s="4">
        <v>-7.4801236391067505E-2</v>
      </c>
      <c r="F100" s="4">
        <f t="shared" si="2"/>
        <v>0.14611637489795684</v>
      </c>
      <c r="G100" s="4">
        <f t="shared" si="3"/>
        <v>-7.6501236391067512E-2</v>
      </c>
    </row>
    <row r="101" spans="1:7" x14ac:dyDescent="0.35">
      <c r="A101" s="1">
        <v>39568</v>
      </c>
      <c r="B101">
        <v>4.6100000000000002E-2</v>
      </c>
      <c r="C101">
        <v>1.8E-3</v>
      </c>
      <c r="D101" s="3">
        <v>0.21219509840011597</v>
      </c>
      <c r="E101" s="4">
        <v>3.8403145968914032E-2</v>
      </c>
      <c r="F101" s="4">
        <f t="shared" si="2"/>
        <v>0.21039509840011597</v>
      </c>
      <c r="G101" s="4">
        <f t="shared" si="3"/>
        <v>3.6603145968914029E-2</v>
      </c>
    </row>
    <row r="102" spans="1:7" x14ac:dyDescent="0.35">
      <c r="A102" s="1">
        <v>39598</v>
      </c>
      <c r="B102">
        <v>1.8700000000000001E-2</v>
      </c>
      <c r="C102">
        <v>1.8E-3</v>
      </c>
      <c r="D102" s="3">
        <v>8.508194237947464E-2</v>
      </c>
      <c r="E102" s="4">
        <v>0.20194655656814575</v>
      </c>
      <c r="F102" s="4">
        <f t="shared" si="2"/>
        <v>8.3281942379474644E-2</v>
      </c>
      <c r="G102" s="4">
        <f t="shared" si="3"/>
        <v>0.20014655656814576</v>
      </c>
    </row>
    <row r="103" spans="1:7" x14ac:dyDescent="0.35">
      <c r="A103" s="1">
        <v>39629</v>
      </c>
      <c r="B103">
        <v>-8.43E-2</v>
      </c>
      <c r="C103">
        <v>1.7000000000000001E-3</v>
      </c>
      <c r="D103" s="3">
        <v>-0.11290065199136734</v>
      </c>
      <c r="E103" s="4">
        <v>-0.24210532009601593</v>
      </c>
      <c r="F103" s="4">
        <f t="shared" si="2"/>
        <v>-0.11460065199136735</v>
      </c>
      <c r="G103" s="4">
        <f t="shared" si="3"/>
        <v>-0.24380532009601594</v>
      </c>
    </row>
    <row r="104" spans="1:7" x14ac:dyDescent="0.35">
      <c r="A104" s="1">
        <v>39660</v>
      </c>
      <c r="B104">
        <v>-7.4999999999999997E-3</v>
      </c>
      <c r="C104">
        <v>1.5E-3</v>
      </c>
      <c r="D104" s="3">
        <v>-5.070476233959198E-2</v>
      </c>
      <c r="E104" s="4">
        <v>-0.3888888955116272</v>
      </c>
      <c r="F104" s="4">
        <f t="shared" si="2"/>
        <v>-5.2204762339591981E-2</v>
      </c>
      <c r="G104" s="4">
        <f t="shared" si="3"/>
        <v>-0.3903888955116272</v>
      </c>
    </row>
    <row r="105" spans="1:7" x14ac:dyDescent="0.35">
      <c r="A105" s="1">
        <v>39689</v>
      </c>
      <c r="B105">
        <v>1.5300000000000001E-2</v>
      </c>
      <c r="C105">
        <v>1.2999999999999999E-3</v>
      </c>
      <c r="D105" s="3">
        <v>6.6561825573444366E-2</v>
      </c>
      <c r="E105" s="4">
        <v>0.10489517450332642</v>
      </c>
      <c r="F105" s="4">
        <f t="shared" si="2"/>
        <v>6.5261825573444371E-2</v>
      </c>
      <c r="G105" s="4">
        <f t="shared" si="3"/>
        <v>0.10359517450332642</v>
      </c>
    </row>
    <row r="106" spans="1:7" x14ac:dyDescent="0.35">
      <c r="A106" s="1">
        <v>39721</v>
      </c>
      <c r="B106">
        <v>-9.35E-2</v>
      </c>
      <c r="C106">
        <v>1.5E-3</v>
      </c>
      <c r="D106" s="3">
        <v>-0.32955816388130188</v>
      </c>
      <c r="E106" s="4">
        <v>-0.15268988907337189</v>
      </c>
      <c r="F106" s="4">
        <f t="shared" si="2"/>
        <v>-0.33105816388130188</v>
      </c>
      <c r="G106" s="4">
        <f t="shared" si="3"/>
        <v>-0.15418988907337189</v>
      </c>
    </row>
    <row r="107" spans="1:7" x14ac:dyDescent="0.35">
      <c r="A107" s="1">
        <v>39752</v>
      </c>
      <c r="B107">
        <v>-0.17199999999999999</v>
      </c>
      <c r="C107">
        <v>8.0000000000000004E-4</v>
      </c>
      <c r="D107" s="3">
        <v>-5.3404953330755234E-2</v>
      </c>
      <c r="E107" s="4">
        <v>-0.18207280337810516</v>
      </c>
      <c r="F107" s="4">
        <f t="shared" si="2"/>
        <v>-5.4204953330755236E-2</v>
      </c>
      <c r="G107" s="4">
        <f t="shared" si="3"/>
        <v>-0.18287280337810516</v>
      </c>
    </row>
    <row r="108" spans="1:7" x14ac:dyDescent="0.35">
      <c r="A108" s="1">
        <v>39780</v>
      </c>
      <c r="B108">
        <v>-7.7399999999999997E-2</v>
      </c>
      <c r="C108">
        <v>2.9999999999999997E-4</v>
      </c>
      <c r="D108" s="3">
        <v>-0.13867458701133728</v>
      </c>
      <c r="E108" s="4">
        <v>-0.14726032316684723</v>
      </c>
      <c r="F108" s="4">
        <f t="shared" si="2"/>
        <v>-0.13897458701133727</v>
      </c>
      <c r="G108" s="4">
        <f t="shared" si="3"/>
        <v>-0.14756032316684722</v>
      </c>
    </row>
    <row r="109" spans="1:7" x14ac:dyDescent="0.35">
      <c r="A109" s="1">
        <v>39813</v>
      </c>
      <c r="B109">
        <v>1.77E-2</v>
      </c>
      <c r="C109">
        <v>0</v>
      </c>
      <c r="D109" s="3">
        <v>-7.8989960253238678E-2</v>
      </c>
      <c r="E109" s="4">
        <v>8.0321274697780609E-2</v>
      </c>
      <c r="F109" s="4">
        <f t="shared" si="2"/>
        <v>-7.8989960253238678E-2</v>
      </c>
      <c r="G109" s="4">
        <f t="shared" si="3"/>
        <v>8.0321274697780609E-2</v>
      </c>
    </row>
    <row r="110" spans="1:7" x14ac:dyDescent="0.35">
      <c r="A110" s="1">
        <v>39843</v>
      </c>
      <c r="B110">
        <v>-8.09E-2</v>
      </c>
      <c r="C110">
        <v>0</v>
      </c>
      <c r="D110" s="3">
        <v>5.600467324256897E-2</v>
      </c>
      <c r="E110" s="4">
        <v>-1.4869875274598598E-2</v>
      </c>
      <c r="F110" s="4">
        <f t="shared" si="2"/>
        <v>5.600467324256897E-2</v>
      </c>
      <c r="G110" s="4">
        <f t="shared" si="3"/>
        <v>-1.4869875274598598E-2</v>
      </c>
    </row>
    <row r="111" spans="1:7" x14ac:dyDescent="0.35">
      <c r="A111" s="1">
        <v>39871</v>
      </c>
      <c r="B111">
        <v>-0.1014</v>
      </c>
      <c r="C111">
        <v>1E-4</v>
      </c>
      <c r="D111" s="3">
        <v>-9.0979663655161858E-3</v>
      </c>
      <c r="E111" s="4">
        <v>4.1509427130222321E-2</v>
      </c>
      <c r="F111" s="4">
        <f t="shared" si="2"/>
        <v>-9.1979663655161852E-3</v>
      </c>
      <c r="G111" s="4">
        <f t="shared" si="3"/>
        <v>4.1409427130222318E-2</v>
      </c>
    </row>
    <row r="112" spans="1:7" x14ac:dyDescent="0.35">
      <c r="A112" s="1">
        <v>39903</v>
      </c>
      <c r="B112">
        <v>9.01E-2</v>
      </c>
      <c r="C112">
        <v>2.0000000000000001E-4</v>
      </c>
      <c r="D112" s="3">
        <v>0.17702391743659973</v>
      </c>
      <c r="E112" s="4">
        <v>0.19082126021385193</v>
      </c>
      <c r="F112" s="4">
        <f t="shared" si="2"/>
        <v>0.17682391743659973</v>
      </c>
      <c r="G112" s="4">
        <f t="shared" si="3"/>
        <v>0.19062126021385192</v>
      </c>
    </row>
    <row r="113" spans="1:7" x14ac:dyDescent="0.35">
      <c r="A113" s="1">
        <v>39933</v>
      </c>
      <c r="B113">
        <v>0.1017</v>
      </c>
      <c r="C113">
        <v>1E-4</v>
      </c>
      <c r="D113" s="3">
        <v>0.19701293110847473</v>
      </c>
      <c r="E113" s="4">
        <v>0.16430020332336426</v>
      </c>
      <c r="F113" s="4">
        <f t="shared" si="2"/>
        <v>0.19691293110847474</v>
      </c>
      <c r="G113" s="4">
        <f t="shared" si="3"/>
        <v>0.16420020332336427</v>
      </c>
    </row>
    <row r="114" spans="1:7" x14ac:dyDescent="0.35">
      <c r="A114" s="1">
        <v>39962</v>
      </c>
      <c r="B114">
        <v>5.21E-2</v>
      </c>
      <c r="C114">
        <v>0</v>
      </c>
      <c r="D114" s="3">
        <v>7.9313322901725769E-2</v>
      </c>
      <c r="E114" s="4">
        <v>-9.1463349759578705E-2</v>
      </c>
      <c r="F114" s="4">
        <f t="shared" si="2"/>
        <v>7.9313322901725769E-2</v>
      </c>
      <c r="G114" s="4">
        <f t="shared" si="3"/>
        <v>-9.1463349759578705E-2</v>
      </c>
    </row>
    <row r="115" spans="1:7" x14ac:dyDescent="0.35">
      <c r="A115" s="1">
        <v>39994</v>
      </c>
      <c r="B115">
        <v>4.1999999999999997E-3</v>
      </c>
      <c r="C115">
        <v>1E-4</v>
      </c>
      <c r="D115" s="3">
        <v>4.8744533210992813E-2</v>
      </c>
      <c r="E115" s="4">
        <v>8.2454420626163483E-2</v>
      </c>
      <c r="F115" s="4">
        <f t="shared" si="2"/>
        <v>4.864453321099281E-2</v>
      </c>
      <c r="G115" s="4">
        <f t="shared" si="3"/>
        <v>8.235442062616348E-2</v>
      </c>
    </row>
    <row r="116" spans="1:7" x14ac:dyDescent="0.35">
      <c r="A116" s="1">
        <v>40025</v>
      </c>
      <c r="B116">
        <v>7.7399999999999997E-2</v>
      </c>
      <c r="C116">
        <v>1E-4</v>
      </c>
      <c r="D116" s="3">
        <v>0.14716006815433502</v>
      </c>
      <c r="E116" s="4">
        <v>0.14526131749153137</v>
      </c>
      <c r="F116" s="4">
        <f t="shared" si="2"/>
        <v>0.14706006815433503</v>
      </c>
      <c r="G116" s="4">
        <f t="shared" si="3"/>
        <v>0.14516131749153138</v>
      </c>
    </row>
    <row r="117" spans="1:7" x14ac:dyDescent="0.35">
      <c r="A117" s="1">
        <v>40056</v>
      </c>
      <c r="B117">
        <v>3.3300000000000003E-2</v>
      </c>
      <c r="C117">
        <v>1E-4</v>
      </c>
      <c r="D117" s="3">
        <v>2.9500015079975128E-2</v>
      </c>
      <c r="E117" s="4">
        <v>0.1229698434472084</v>
      </c>
      <c r="F117" s="4">
        <f t="shared" si="2"/>
        <v>2.9400015079975129E-2</v>
      </c>
      <c r="G117" s="4">
        <f t="shared" si="3"/>
        <v>0.1228698434472084</v>
      </c>
    </row>
    <row r="118" spans="1:7" x14ac:dyDescent="0.35">
      <c r="A118" s="1">
        <v>40086</v>
      </c>
      <c r="B118">
        <v>4.0800000000000003E-2</v>
      </c>
      <c r="C118">
        <v>1E-4</v>
      </c>
      <c r="D118" s="3">
        <v>0.10189642757177353</v>
      </c>
      <c r="E118" s="4">
        <v>3.5123914480209351E-2</v>
      </c>
      <c r="F118" s="4">
        <f t="shared" si="2"/>
        <v>0.10179642757177353</v>
      </c>
      <c r="G118" s="4">
        <f t="shared" si="3"/>
        <v>3.5023914480209348E-2</v>
      </c>
    </row>
    <row r="119" spans="1:7" x14ac:dyDescent="0.35">
      <c r="A119" s="1">
        <v>40116</v>
      </c>
      <c r="B119">
        <v>-2.53E-2</v>
      </c>
      <c r="C119">
        <v>0</v>
      </c>
      <c r="D119" s="3">
        <v>1.6994841396808624E-2</v>
      </c>
      <c r="E119" s="4">
        <v>-0.20425812900066376</v>
      </c>
      <c r="F119" s="4">
        <f t="shared" si="2"/>
        <v>1.6994841396808624E-2</v>
      </c>
      <c r="G119" s="4">
        <f t="shared" si="3"/>
        <v>-0.20425812900066376</v>
      </c>
    </row>
    <row r="120" spans="1:7" x14ac:dyDescent="0.35">
      <c r="A120" s="1">
        <v>40147</v>
      </c>
      <c r="B120">
        <v>5.6299999999999996E-2</v>
      </c>
      <c r="C120">
        <v>0</v>
      </c>
      <c r="D120" s="3">
        <v>6.0530524700880051E-2</v>
      </c>
      <c r="E120" s="4">
        <v>9.1973274946212769E-2</v>
      </c>
      <c r="F120" s="4">
        <f t="shared" si="2"/>
        <v>6.0530524700880051E-2</v>
      </c>
      <c r="G120" s="4">
        <f t="shared" si="3"/>
        <v>9.1973274946212769E-2</v>
      </c>
    </row>
    <row r="121" spans="1:7" x14ac:dyDescent="0.35">
      <c r="A121" s="1">
        <v>40178</v>
      </c>
      <c r="B121">
        <v>2.7999999999999997E-2</v>
      </c>
      <c r="C121">
        <v>1E-4</v>
      </c>
      <c r="D121" s="3">
        <v>5.4134313017129898E-2</v>
      </c>
      <c r="E121" s="4">
        <v>0.43032157421112061</v>
      </c>
      <c r="F121" s="4">
        <f t="shared" si="2"/>
        <v>5.4034313017129895E-2</v>
      </c>
      <c r="G121" s="4">
        <f t="shared" si="3"/>
        <v>0.43022157421112062</v>
      </c>
    </row>
    <row r="122" spans="1:7" x14ac:dyDescent="0.35">
      <c r="A122" s="1">
        <v>40207</v>
      </c>
      <c r="B122">
        <v>-3.3500000000000002E-2</v>
      </c>
      <c r="C122">
        <v>0</v>
      </c>
      <c r="D122" s="3">
        <v>-8.8591158390045166E-2</v>
      </c>
      <c r="E122" s="4">
        <v>-0.17612418532371521</v>
      </c>
      <c r="F122" s="4">
        <f t="shared" si="2"/>
        <v>-8.8591158390045166E-2</v>
      </c>
      <c r="G122" s="4">
        <f t="shared" si="3"/>
        <v>-0.17612418532371521</v>
      </c>
    </row>
    <row r="123" spans="1:7" x14ac:dyDescent="0.35">
      <c r="A123" s="1">
        <v>40235</v>
      </c>
      <c r="B123">
        <v>3.39E-2</v>
      </c>
      <c r="C123">
        <v>0</v>
      </c>
      <c r="D123" s="3">
        <v>6.5379545092582703E-2</v>
      </c>
      <c r="E123" s="4">
        <v>5.2631605416536331E-2</v>
      </c>
      <c r="F123" s="4">
        <f t="shared" si="2"/>
        <v>6.5379545092582703E-2</v>
      </c>
      <c r="G123" s="4">
        <f t="shared" si="3"/>
        <v>5.2631605416536331E-2</v>
      </c>
    </row>
    <row r="124" spans="1:7" x14ac:dyDescent="0.35">
      <c r="A124" s="1">
        <v>40268</v>
      </c>
      <c r="B124">
        <v>6.3E-2</v>
      </c>
      <c r="C124">
        <v>1E-4</v>
      </c>
      <c r="D124" s="3">
        <v>0.14847035706043243</v>
      </c>
      <c r="E124" s="4">
        <v>7.4074000120162964E-2</v>
      </c>
      <c r="F124" s="4">
        <f t="shared" si="2"/>
        <v>0.14837035706043245</v>
      </c>
      <c r="G124" s="4">
        <f t="shared" si="3"/>
        <v>7.3974000120162961E-2</v>
      </c>
    </row>
    <row r="125" spans="1:7" x14ac:dyDescent="0.35">
      <c r="A125" s="1">
        <v>40298</v>
      </c>
      <c r="B125">
        <v>1.9900000000000001E-2</v>
      </c>
      <c r="C125">
        <v>1E-4</v>
      </c>
      <c r="D125" s="3">
        <v>0.1110212579369545</v>
      </c>
      <c r="E125" s="4">
        <v>-9.7126416862010956E-2</v>
      </c>
      <c r="F125" s="4">
        <f t="shared" si="2"/>
        <v>0.1109212579369545</v>
      </c>
      <c r="G125" s="4">
        <f t="shared" si="3"/>
        <v>-9.7226416862010959E-2</v>
      </c>
    </row>
    <row r="126" spans="1:7" x14ac:dyDescent="0.35">
      <c r="A126" s="1">
        <v>40326</v>
      </c>
      <c r="B126">
        <v>-7.9000000000000001E-2</v>
      </c>
      <c r="C126">
        <v>1E-4</v>
      </c>
      <c r="D126" s="3">
        <v>-1.6124675050377846E-2</v>
      </c>
      <c r="E126" s="4">
        <v>-0.16359004378318787</v>
      </c>
      <c r="F126" s="4">
        <f t="shared" si="2"/>
        <v>-1.6224675050377845E-2</v>
      </c>
      <c r="G126" s="4">
        <f t="shared" si="3"/>
        <v>-0.16369004378318786</v>
      </c>
    </row>
    <row r="127" spans="1:7" x14ac:dyDescent="0.35">
      <c r="A127" s="1">
        <v>40359</v>
      </c>
      <c r="B127">
        <v>-5.5599999999999997E-2</v>
      </c>
      <c r="C127">
        <v>1E-4</v>
      </c>
      <c r="D127" s="3">
        <v>-2.0826868712902069E-2</v>
      </c>
      <c r="E127" s="4">
        <v>-0.22298327088356018</v>
      </c>
      <c r="F127" s="4">
        <f t="shared" si="2"/>
        <v>-2.0926868712902068E-2</v>
      </c>
      <c r="G127" s="4">
        <f t="shared" si="3"/>
        <v>-0.22308327088356017</v>
      </c>
    </row>
    <row r="128" spans="1:7" x14ac:dyDescent="0.35">
      <c r="A128" s="1">
        <v>40389</v>
      </c>
      <c r="B128">
        <v>6.9199999999999998E-2</v>
      </c>
      <c r="C128">
        <v>1E-4</v>
      </c>
      <c r="D128" s="3">
        <v>2.2740831598639488E-2</v>
      </c>
      <c r="E128" s="4">
        <v>-9.990210086107254E-2</v>
      </c>
      <c r="F128" s="4">
        <f t="shared" si="2"/>
        <v>2.2640831598639489E-2</v>
      </c>
      <c r="G128" s="4">
        <f t="shared" si="3"/>
        <v>-0.10000210086107254</v>
      </c>
    </row>
    <row r="129" spans="1:7" x14ac:dyDescent="0.35">
      <c r="A129" s="1">
        <v>40421</v>
      </c>
      <c r="B129">
        <v>-4.7800000000000002E-2</v>
      </c>
      <c r="C129">
        <v>1E-4</v>
      </c>
      <c r="D129" s="3">
        <v>-5.500483512878418E-2</v>
      </c>
      <c r="E129" s="4">
        <v>1.4689905568957329E-2</v>
      </c>
      <c r="F129" s="4">
        <f t="shared" si="2"/>
        <v>-5.5104835128784183E-2</v>
      </c>
      <c r="G129" s="4">
        <f t="shared" si="3"/>
        <v>1.4589905568957329E-2</v>
      </c>
    </row>
    <row r="130" spans="1:7" x14ac:dyDescent="0.35">
      <c r="A130" s="1">
        <v>40451</v>
      </c>
      <c r="B130">
        <v>9.5500000000000002E-2</v>
      </c>
      <c r="C130">
        <v>1E-4</v>
      </c>
      <c r="D130" s="3">
        <v>0.16721510887145996</v>
      </c>
      <c r="E130" s="4">
        <v>0.25276142358779907</v>
      </c>
      <c r="F130" s="4">
        <f t="shared" si="2"/>
        <v>0.16711510887145997</v>
      </c>
      <c r="G130" s="4">
        <f t="shared" si="3"/>
        <v>0.25266142358779908</v>
      </c>
    </row>
    <row r="131" spans="1:7" x14ac:dyDescent="0.35">
      <c r="A131" s="1">
        <v>40480</v>
      </c>
      <c r="B131">
        <v>3.8699999999999998E-2</v>
      </c>
      <c r="C131">
        <v>1E-4</v>
      </c>
      <c r="D131" s="3">
        <v>6.0722507536411285E-2</v>
      </c>
      <c r="E131" s="4">
        <v>2.8976203873753548E-2</v>
      </c>
      <c r="F131" s="4">
        <f t="shared" ref="F131:F194" si="4">D131-C131</f>
        <v>6.0622507536411283E-2</v>
      </c>
      <c r="G131" s="4">
        <f t="shared" ref="G131:G194" si="5">E131-C131</f>
        <v>2.8876203873753548E-2</v>
      </c>
    </row>
    <row r="132" spans="1:7" x14ac:dyDescent="0.35">
      <c r="A132" s="1">
        <v>40512</v>
      </c>
      <c r="B132">
        <v>5.8999999999999999E-3</v>
      </c>
      <c r="C132">
        <v>1E-4</v>
      </c>
      <c r="D132" s="3">
        <v>3.3789563924074173E-2</v>
      </c>
      <c r="E132" s="4">
        <v>0.13214924931526184</v>
      </c>
      <c r="F132" s="4">
        <f t="shared" si="4"/>
        <v>3.368956392407417E-2</v>
      </c>
      <c r="G132" s="4">
        <f t="shared" si="5"/>
        <v>0.13204924931526185</v>
      </c>
    </row>
    <row r="133" spans="1:7" x14ac:dyDescent="0.35">
      <c r="A133" s="1">
        <v>40543</v>
      </c>
      <c r="B133">
        <v>6.8199999999999997E-2</v>
      </c>
      <c r="C133">
        <v>1E-4</v>
      </c>
      <c r="D133" s="3">
        <v>3.6670427769422531E-2</v>
      </c>
      <c r="E133" s="4">
        <v>0.13160404562950134</v>
      </c>
      <c r="F133" s="4">
        <f t="shared" si="4"/>
        <v>3.6570427769422528E-2</v>
      </c>
      <c r="G133" s="4">
        <f t="shared" si="5"/>
        <v>0.13150404562950135</v>
      </c>
    </row>
    <row r="134" spans="1:7" x14ac:dyDescent="0.35">
      <c r="A134" s="1">
        <v>40574</v>
      </c>
      <c r="B134">
        <v>1.9799999999999998E-2</v>
      </c>
      <c r="C134">
        <v>1E-4</v>
      </c>
      <c r="D134" s="3">
        <v>5.1959354430437088E-2</v>
      </c>
      <c r="E134" s="4">
        <v>0.55324679613113403</v>
      </c>
      <c r="F134" s="4">
        <f t="shared" si="4"/>
        <v>5.1859354430437085E-2</v>
      </c>
      <c r="G134" s="4">
        <f t="shared" si="5"/>
        <v>0.55314679613113404</v>
      </c>
    </row>
    <row r="135" spans="1:7" x14ac:dyDescent="0.35">
      <c r="A135" s="1">
        <v>40602</v>
      </c>
      <c r="B135">
        <v>3.4799999999999998E-2</v>
      </c>
      <c r="C135">
        <v>1E-4</v>
      </c>
      <c r="D135" s="3">
        <v>4.0934763848781586E-2</v>
      </c>
      <c r="E135" s="4">
        <v>-5.2675593644380569E-2</v>
      </c>
      <c r="F135" s="4">
        <f t="shared" si="4"/>
        <v>4.0834763848781583E-2</v>
      </c>
      <c r="G135" s="4">
        <f t="shared" si="5"/>
        <v>-5.2775593644380572E-2</v>
      </c>
    </row>
    <row r="136" spans="1:7" x14ac:dyDescent="0.35">
      <c r="A136" s="1">
        <v>40633</v>
      </c>
      <c r="B136">
        <v>4.5000000000000005E-3</v>
      </c>
      <c r="C136">
        <v>1E-4</v>
      </c>
      <c r="D136" s="3">
        <v>-1.3313564471900463E-2</v>
      </c>
      <c r="E136" s="4">
        <v>-0.18534865975379944</v>
      </c>
      <c r="F136" s="4">
        <f t="shared" si="4"/>
        <v>-1.3413564471900462E-2</v>
      </c>
      <c r="G136" s="4">
        <f t="shared" si="5"/>
        <v>-0.18544865975379943</v>
      </c>
    </row>
    <row r="137" spans="1:7" x14ac:dyDescent="0.35">
      <c r="A137" s="1">
        <v>40662</v>
      </c>
      <c r="B137">
        <v>2.8999999999999998E-2</v>
      </c>
      <c r="C137">
        <v>0</v>
      </c>
      <c r="D137" s="3">
        <v>4.6555600129067898E-3</v>
      </c>
      <c r="E137" s="4">
        <v>8.34236741065979E-2</v>
      </c>
      <c r="F137" s="4">
        <f t="shared" si="4"/>
        <v>4.6555600129067898E-3</v>
      </c>
      <c r="G137" s="4">
        <f t="shared" si="5"/>
        <v>8.34236741065979E-2</v>
      </c>
    </row>
    <row r="138" spans="1:7" x14ac:dyDescent="0.35">
      <c r="A138" s="1">
        <v>40694</v>
      </c>
      <c r="B138">
        <v>-1.2699999999999999E-2</v>
      </c>
      <c r="C138">
        <v>0</v>
      </c>
      <c r="D138" s="3">
        <v>-6.5690409392118454E-3</v>
      </c>
      <c r="E138" s="4">
        <v>2.0000457298010588E-3</v>
      </c>
      <c r="F138" s="4">
        <f t="shared" si="4"/>
        <v>-6.5690409392118454E-3</v>
      </c>
      <c r="G138" s="4">
        <f t="shared" si="5"/>
        <v>2.0000457298010588E-3</v>
      </c>
    </row>
    <row r="139" spans="1:7" x14ac:dyDescent="0.35">
      <c r="A139" s="1">
        <v>40724</v>
      </c>
      <c r="B139">
        <v>-1.7399999999999999E-2</v>
      </c>
      <c r="C139">
        <v>0</v>
      </c>
      <c r="D139" s="3">
        <v>-3.495953232049942E-2</v>
      </c>
      <c r="E139" s="4">
        <v>-0.20484033226966858</v>
      </c>
      <c r="F139" s="4">
        <f t="shared" si="4"/>
        <v>-3.495953232049942E-2</v>
      </c>
      <c r="G139" s="4">
        <f t="shared" si="5"/>
        <v>-0.20484033226966858</v>
      </c>
    </row>
    <row r="140" spans="1:7" x14ac:dyDescent="0.35">
      <c r="A140" s="1">
        <v>40753</v>
      </c>
      <c r="B140">
        <v>-2.35E-2</v>
      </c>
      <c r="C140">
        <v>0</v>
      </c>
      <c r="D140" s="3">
        <v>0.16328535974025726</v>
      </c>
      <c r="E140" s="4">
        <v>-0.13209918141365051</v>
      </c>
      <c r="F140" s="4">
        <f t="shared" si="4"/>
        <v>0.16328535974025726</v>
      </c>
      <c r="G140" s="4">
        <f t="shared" si="5"/>
        <v>-0.13209918141365051</v>
      </c>
    </row>
    <row r="141" spans="1:7" x14ac:dyDescent="0.35">
      <c r="A141" s="1">
        <v>40786</v>
      </c>
      <c r="B141">
        <v>-5.96E-2</v>
      </c>
      <c r="C141">
        <v>1E-4</v>
      </c>
      <c r="D141" s="3">
        <v>-1.4469433575868607E-2</v>
      </c>
      <c r="E141" s="4">
        <v>-3.7599384784698486E-2</v>
      </c>
      <c r="F141" s="4">
        <f t="shared" si="4"/>
        <v>-1.4569433575868606E-2</v>
      </c>
      <c r="G141" s="4">
        <f t="shared" si="5"/>
        <v>-3.7699384784698489E-2</v>
      </c>
    </row>
    <row r="142" spans="1:7" x14ac:dyDescent="0.35">
      <c r="A142" s="1">
        <v>40816</v>
      </c>
      <c r="B142">
        <v>-7.5800000000000006E-2</v>
      </c>
      <c r="C142">
        <v>0</v>
      </c>
      <c r="D142" s="3">
        <v>-9.1208573430776596E-3</v>
      </c>
      <c r="E142" s="4">
        <v>-6.0105197131633759E-2</v>
      </c>
      <c r="F142" s="4">
        <f t="shared" si="4"/>
        <v>-9.1208573430776596E-3</v>
      </c>
      <c r="G142" s="4">
        <f t="shared" si="5"/>
        <v>-6.0105197131633759E-2</v>
      </c>
    </row>
    <row r="143" spans="1:7" x14ac:dyDescent="0.35">
      <c r="A143" s="1">
        <v>40847</v>
      </c>
      <c r="B143">
        <v>0.1133</v>
      </c>
      <c r="C143">
        <v>0</v>
      </c>
      <c r="D143" s="3">
        <v>6.1523105949163437E-2</v>
      </c>
      <c r="E143" s="4">
        <v>0.18305355310440063</v>
      </c>
      <c r="F143" s="4">
        <f t="shared" si="4"/>
        <v>6.1523105949163437E-2</v>
      </c>
      <c r="G143" s="4">
        <f t="shared" si="5"/>
        <v>0.18305355310440063</v>
      </c>
    </row>
    <row r="144" spans="1:7" x14ac:dyDescent="0.35">
      <c r="A144" s="1">
        <v>40877</v>
      </c>
      <c r="B144">
        <v>-2.7000000000000001E-3</v>
      </c>
      <c r="C144">
        <v>0</v>
      </c>
      <c r="D144" s="3">
        <v>-5.5783353745937347E-2</v>
      </c>
      <c r="E144" s="4">
        <v>5.6081075221300125E-2</v>
      </c>
      <c r="F144" s="4">
        <f t="shared" si="4"/>
        <v>-5.5783353745937347E-2</v>
      </c>
      <c r="G144" s="4">
        <f t="shared" si="5"/>
        <v>5.6081075221300125E-2</v>
      </c>
    </row>
    <row r="145" spans="1:7" x14ac:dyDescent="0.35">
      <c r="A145" s="1">
        <v>40907</v>
      </c>
      <c r="B145">
        <v>7.4999999999999997E-3</v>
      </c>
      <c r="C145">
        <v>0</v>
      </c>
      <c r="D145" s="3">
        <v>5.9654597193002701E-2</v>
      </c>
      <c r="E145" s="4">
        <v>-0.11324378848075867</v>
      </c>
      <c r="F145" s="4">
        <f t="shared" si="4"/>
        <v>5.9654597193002701E-2</v>
      </c>
      <c r="G145" s="4">
        <f t="shared" si="5"/>
        <v>-0.11324378848075867</v>
      </c>
    </row>
    <row r="146" spans="1:7" x14ac:dyDescent="0.35">
      <c r="A146" s="1">
        <v>40939</v>
      </c>
      <c r="B146">
        <v>5.0499999999999996E-2</v>
      </c>
      <c r="C146">
        <v>0</v>
      </c>
      <c r="D146" s="3">
        <v>0.12711113691329956</v>
      </c>
      <c r="E146" s="4">
        <v>6.5656624734401703E-2</v>
      </c>
      <c r="F146" s="4">
        <f t="shared" si="4"/>
        <v>0.12711113691329956</v>
      </c>
      <c r="G146" s="4">
        <f t="shared" si="5"/>
        <v>6.5656624734401703E-2</v>
      </c>
    </row>
    <row r="147" spans="1:7" x14ac:dyDescent="0.35">
      <c r="A147" s="1">
        <v>40968</v>
      </c>
      <c r="B147">
        <v>4.4199999999999996E-2</v>
      </c>
      <c r="C147">
        <v>0</v>
      </c>
      <c r="D147" s="3">
        <v>0.18831053376197815</v>
      </c>
      <c r="E147" s="4">
        <v>2.5727769359946251E-2</v>
      </c>
      <c r="F147" s="4">
        <f t="shared" si="4"/>
        <v>0.18831053376197815</v>
      </c>
      <c r="G147" s="4">
        <f t="shared" si="5"/>
        <v>2.5727769359946251E-2</v>
      </c>
    </row>
    <row r="148" spans="1:7" x14ac:dyDescent="0.35">
      <c r="A148" s="1">
        <v>40998</v>
      </c>
      <c r="B148">
        <v>3.1200000000000002E-2</v>
      </c>
      <c r="C148">
        <v>0</v>
      </c>
      <c r="D148" s="3">
        <v>0.10528350621461868</v>
      </c>
      <c r="E148" s="4">
        <v>1.6171673312783241E-2</v>
      </c>
      <c r="F148" s="4">
        <f t="shared" si="4"/>
        <v>0.10528350621461868</v>
      </c>
      <c r="G148" s="4">
        <f t="shared" si="5"/>
        <v>1.6171673312783241E-2</v>
      </c>
    </row>
    <row r="149" spans="1:7" x14ac:dyDescent="0.35">
      <c r="A149" s="1">
        <v>41029</v>
      </c>
      <c r="B149">
        <v>-8.5000000000000006E-3</v>
      </c>
      <c r="C149">
        <v>0</v>
      </c>
      <c r="D149" s="3">
        <v>-2.59694904088974E-2</v>
      </c>
      <c r="E149" s="4">
        <v>-0.15557001531124115</v>
      </c>
      <c r="F149" s="4">
        <f t="shared" si="4"/>
        <v>-2.59694904088974E-2</v>
      </c>
      <c r="G149" s="4">
        <f t="shared" si="5"/>
        <v>-0.15557001531124115</v>
      </c>
    </row>
    <row r="150" spans="1:7" x14ac:dyDescent="0.35">
      <c r="A150" s="1">
        <v>41060</v>
      </c>
      <c r="B150">
        <v>-6.1699999999999998E-2</v>
      </c>
      <c r="C150">
        <v>1E-4</v>
      </c>
      <c r="D150" s="3">
        <v>-1.0702421888709068E-2</v>
      </c>
      <c r="E150" s="4">
        <v>-4.384613037109375E-2</v>
      </c>
      <c r="F150" s="4">
        <f t="shared" si="4"/>
        <v>-1.0802421888709068E-2</v>
      </c>
      <c r="G150" s="4">
        <f t="shared" si="5"/>
        <v>-4.3946130371093753E-2</v>
      </c>
    </row>
    <row r="151" spans="1:7" x14ac:dyDescent="0.35">
      <c r="A151" s="1">
        <v>41089</v>
      </c>
      <c r="B151">
        <v>3.8900000000000004E-2</v>
      </c>
      <c r="C151">
        <v>0</v>
      </c>
      <c r="D151" s="3">
        <v>1.0852854698896408E-2</v>
      </c>
      <c r="E151" s="4">
        <v>0.11182617396116257</v>
      </c>
      <c r="F151" s="4">
        <f t="shared" si="4"/>
        <v>1.0852854698896408E-2</v>
      </c>
      <c r="G151" s="4">
        <f t="shared" si="5"/>
        <v>0.11182617396116257</v>
      </c>
    </row>
    <row r="152" spans="1:7" x14ac:dyDescent="0.35">
      <c r="A152" s="1">
        <v>41121</v>
      </c>
      <c r="B152">
        <v>7.9000000000000008E-3</v>
      </c>
      <c r="C152">
        <v>0</v>
      </c>
      <c r="D152" s="3">
        <v>4.5821934938430786E-2</v>
      </c>
      <c r="E152" s="4">
        <v>-2.026047371327877E-2</v>
      </c>
      <c r="F152" s="4">
        <f t="shared" si="4"/>
        <v>4.5821934938430786E-2</v>
      </c>
      <c r="G152" s="4">
        <f t="shared" si="5"/>
        <v>-2.026047371327877E-2</v>
      </c>
    </row>
    <row r="153" spans="1:7" x14ac:dyDescent="0.35">
      <c r="A153" s="1">
        <v>41152</v>
      </c>
      <c r="B153">
        <v>2.5399999999999999E-2</v>
      </c>
      <c r="C153">
        <v>1E-4</v>
      </c>
      <c r="D153" s="3">
        <v>9.353916347026825E-2</v>
      </c>
      <c r="E153" s="4">
        <v>3.618905320763588E-2</v>
      </c>
      <c r="F153" s="4">
        <f t="shared" si="4"/>
        <v>9.3439163470268247E-2</v>
      </c>
      <c r="G153" s="4">
        <f t="shared" si="5"/>
        <v>3.6089053207635877E-2</v>
      </c>
    </row>
    <row r="154" spans="1:7" x14ac:dyDescent="0.35">
      <c r="A154" s="1">
        <v>41180</v>
      </c>
      <c r="B154">
        <v>2.7300000000000001E-2</v>
      </c>
      <c r="C154">
        <v>1E-4</v>
      </c>
      <c r="D154" s="3">
        <v>2.8034849092364311E-3</v>
      </c>
      <c r="E154" s="4">
        <v>-4.9180299043655396E-2</v>
      </c>
      <c r="F154" s="4">
        <f t="shared" si="4"/>
        <v>2.7034849092364313E-3</v>
      </c>
      <c r="G154" s="4">
        <f t="shared" si="5"/>
        <v>-4.9280299043655398E-2</v>
      </c>
    </row>
    <row r="155" spans="1:7" x14ac:dyDescent="0.35">
      <c r="A155" s="1">
        <v>41213</v>
      </c>
      <c r="B155">
        <v>-1.7600000000000001E-2</v>
      </c>
      <c r="C155">
        <v>1E-4</v>
      </c>
      <c r="D155" s="3">
        <v>-0.10760670900344849</v>
      </c>
      <c r="E155" s="4">
        <v>-0.10232382267713547</v>
      </c>
      <c r="F155" s="4">
        <f t="shared" si="4"/>
        <v>-0.10770670900344849</v>
      </c>
      <c r="G155" s="4">
        <f t="shared" si="5"/>
        <v>-0.10242382267713547</v>
      </c>
    </row>
    <row r="156" spans="1:7" x14ac:dyDescent="0.35">
      <c r="A156" s="1">
        <v>41243</v>
      </c>
      <c r="B156">
        <v>7.8000000000000005E-3</v>
      </c>
      <c r="C156">
        <v>1E-4</v>
      </c>
      <c r="D156" s="3">
        <v>-1.2413454242050648E-2</v>
      </c>
      <c r="E156" s="4">
        <v>5.8455020189285278E-3</v>
      </c>
      <c r="F156" s="4">
        <f t="shared" si="4"/>
        <v>-1.2513454242050647E-2</v>
      </c>
      <c r="G156" s="4">
        <f t="shared" si="5"/>
        <v>5.7455020189285276E-3</v>
      </c>
    </row>
    <row r="157" spans="1:7" x14ac:dyDescent="0.35">
      <c r="A157" s="1">
        <v>41274</v>
      </c>
      <c r="B157">
        <v>1.18E-2</v>
      </c>
      <c r="C157">
        <v>1E-4</v>
      </c>
      <c r="D157" s="3">
        <v>-9.0737961232662201E-2</v>
      </c>
      <c r="E157" s="4">
        <v>2.4227231740951538E-2</v>
      </c>
      <c r="F157" s="4">
        <f t="shared" si="4"/>
        <v>-9.0837961232662204E-2</v>
      </c>
      <c r="G157" s="4">
        <f t="shared" si="5"/>
        <v>2.4127231740951539E-2</v>
      </c>
    </row>
    <row r="158" spans="1:7" x14ac:dyDescent="0.35">
      <c r="A158" s="1">
        <v>41305</v>
      </c>
      <c r="B158">
        <v>5.57E-2</v>
      </c>
      <c r="C158">
        <v>0</v>
      </c>
      <c r="D158" s="3">
        <v>-0.14409399032592773</v>
      </c>
      <c r="E158" s="4">
        <v>0</v>
      </c>
      <c r="F158" s="4">
        <f t="shared" si="4"/>
        <v>-0.14409399032592773</v>
      </c>
      <c r="G158" s="4">
        <f t="shared" si="5"/>
        <v>0</v>
      </c>
    </row>
    <row r="159" spans="1:7" x14ac:dyDescent="0.35">
      <c r="A159" s="1">
        <v>41333</v>
      </c>
      <c r="B159">
        <v>1.2800000000000001E-2</v>
      </c>
      <c r="C159">
        <v>0</v>
      </c>
      <c r="D159" s="3">
        <v>-2.5115801021456718E-2</v>
      </c>
      <c r="E159" s="4">
        <v>3.8743849843740463E-2</v>
      </c>
      <c r="F159" s="4">
        <f t="shared" si="4"/>
        <v>-2.5115801021456718E-2</v>
      </c>
      <c r="G159" s="4">
        <f t="shared" si="5"/>
        <v>3.8743849843740463E-2</v>
      </c>
    </row>
    <row r="160" spans="1:7" x14ac:dyDescent="0.35">
      <c r="A160" s="1">
        <v>41361</v>
      </c>
      <c r="B160">
        <v>4.0399999999999998E-2</v>
      </c>
      <c r="C160">
        <v>0</v>
      </c>
      <c r="D160" s="3">
        <v>2.8545758686959743E-3</v>
      </c>
      <c r="E160" s="4">
        <v>1.3428126461803913E-2</v>
      </c>
      <c r="F160" s="4">
        <f t="shared" si="4"/>
        <v>2.8545758686959743E-3</v>
      </c>
      <c r="G160" s="4">
        <f t="shared" si="5"/>
        <v>1.3428126461803913E-2</v>
      </c>
    </row>
    <row r="161" spans="1:7" x14ac:dyDescent="0.35">
      <c r="A161" s="1">
        <v>41394</v>
      </c>
      <c r="B161">
        <v>1.5600000000000001E-2</v>
      </c>
      <c r="C161">
        <v>0</v>
      </c>
      <c r="D161" s="3">
        <v>2.7107738424092531E-4</v>
      </c>
      <c r="E161" s="4">
        <v>7.3265828192234039E-2</v>
      </c>
      <c r="F161" s="4">
        <f t="shared" si="4"/>
        <v>2.7107738424092531E-4</v>
      </c>
      <c r="G161" s="4">
        <f t="shared" si="5"/>
        <v>7.3265828192234039E-2</v>
      </c>
    </row>
    <row r="162" spans="1:7" x14ac:dyDescent="0.35">
      <c r="A162" s="1">
        <v>41425</v>
      </c>
      <c r="B162">
        <v>2.7999999999999997E-2</v>
      </c>
      <c r="C162">
        <v>0</v>
      </c>
      <c r="D162" s="3">
        <v>2.2595841437578201E-2</v>
      </c>
      <c r="E162" s="4">
        <v>5.6281756609678268E-2</v>
      </c>
      <c r="F162" s="4">
        <f t="shared" si="4"/>
        <v>2.2595841437578201E-2</v>
      </c>
      <c r="G162" s="4">
        <f t="shared" si="5"/>
        <v>5.6281756609678268E-2</v>
      </c>
    </row>
    <row r="163" spans="1:7" x14ac:dyDescent="0.35">
      <c r="A163" s="1">
        <v>41453</v>
      </c>
      <c r="B163">
        <v>-1.2E-2</v>
      </c>
      <c r="C163">
        <v>0</v>
      </c>
      <c r="D163" s="3">
        <v>-0.11830297112464905</v>
      </c>
      <c r="E163" s="4">
        <v>-2.9716676101088524E-2</v>
      </c>
      <c r="F163" s="4">
        <f t="shared" si="4"/>
        <v>-0.11830297112464905</v>
      </c>
      <c r="G163" s="4">
        <f t="shared" si="5"/>
        <v>-2.9716676101088524E-2</v>
      </c>
    </row>
    <row r="164" spans="1:7" x14ac:dyDescent="0.35">
      <c r="A164" s="1">
        <v>41486</v>
      </c>
      <c r="B164">
        <v>5.6500000000000002E-2</v>
      </c>
      <c r="C164">
        <v>0</v>
      </c>
      <c r="D164" s="3">
        <v>0.14122512936592102</v>
      </c>
      <c r="E164" s="4">
        <v>2.813393622636795E-2</v>
      </c>
      <c r="F164" s="4">
        <f t="shared" si="4"/>
        <v>0.14122512936592102</v>
      </c>
      <c r="G164" s="4">
        <f t="shared" si="5"/>
        <v>2.813393622636795E-2</v>
      </c>
    </row>
    <row r="165" spans="1:7" x14ac:dyDescent="0.35">
      <c r="A165" s="1">
        <v>41516</v>
      </c>
      <c r="B165">
        <v>-2.7099999999999999E-2</v>
      </c>
      <c r="C165">
        <v>0</v>
      </c>
      <c r="D165" s="3">
        <v>8.3388954401016235E-2</v>
      </c>
      <c r="E165" s="4">
        <v>2.7017636224627495E-2</v>
      </c>
      <c r="F165" s="4">
        <f t="shared" si="4"/>
        <v>8.3388954401016235E-2</v>
      </c>
      <c r="G165" s="4">
        <f t="shared" si="5"/>
        <v>2.7017636224627495E-2</v>
      </c>
    </row>
    <row r="166" spans="1:7" x14ac:dyDescent="0.35">
      <c r="A166" s="1">
        <v>41547</v>
      </c>
      <c r="B166">
        <v>3.7699999999999997E-2</v>
      </c>
      <c r="C166">
        <v>0</v>
      </c>
      <c r="D166" s="3">
        <v>-2.1481238305568695E-2</v>
      </c>
      <c r="E166" s="4">
        <v>5.4915282875299454E-2</v>
      </c>
      <c r="F166" s="4">
        <f t="shared" si="4"/>
        <v>-2.1481238305568695E-2</v>
      </c>
      <c r="G166" s="4">
        <f t="shared" si="5"/>
        <v>5.4915282875299454E-2</v>
      </c>
    </row>
    <row r="167" spans="1:7" x14ac:dyDescent="0.35">
      <c r="A167" s="1">
        <v>41578</v>
      </c>
      <c r="B167">
        <v>4.1700000000000001E-2</v>
      </c>
      <c r="C167">
        <v>0</v>
      </c>
      <c r="D167" s="3">
        <v>9.6386000514030457E-2</v>
      </c>
      <c r="E167" s="4">
        <v>-2.3843206465244293E-2</v>
      </c>
      <c r="F167" s="4">
        <f t="shared" si="4"/>
        <v>9.6386000514030457E-2</v>
      </c>
      <c r="G167" s="4">
        <f t="shared" si="5"/>
        <v>-2.3843206465244293E-2</v>
      </c>
    </row>
    <row r="168" spans="1:7" x14ac:dyDescent="0.35">
      <c r="A168" s="1">
        <v>41607</v>
      </c>
      <c r="B168">
        <v>3.1099999999999999E-2</v>
      </c>
      <c r="C168">
        <v>0</v>
      </c>
      <c r="D168" s="3">
        <v>6.9672547280788422E-2</v>
      </c>
      <c r="E168" s="4">
        <v>3.2655227929353714E-2</v>
      </c>
      <c r="F168" s="4">
        <f t="shared" si="4"/>
        <v>6.9672547280788422E-2</v>
      </c>
      <c r="G168" s="4">
        <f t="shared" si="5"/>
        <v>3.2655227929353714E-2</v>
      </c>
    </row>
    <row r="169" spans="1:7" x14ac:dyDescent="0.35">
      <c r="A169" s="1">
        <v>41639</v>
      </c>
      <c r="B169">
        <v>2.81E-2</v>
      </c>
      <c r="C169">
        <v>0</v>
      </c>
      <c r="D169" s="3">
        <v>8.9017786085605621E-3</v>
      </c>
      <c r="E169" s="4">
        <v>2.6923080906271935E-2</v>
      </c>
      <c r="F169" s="4">
        <f t="shared" si="4"/>
        <v>8.9017786085605621E-3</v>
      </c>
      <c r="G169" s="4">
        <f t="shared" si="5"/>
        <v>2.6923080906271935E-2</v>
      </c>
    </row>
    <row r="170" spans="1:7" x14ac:dyDescent="0.35">
      <c r="A170" s="1">
        <v>41670</v>
      </c>
      <c r="B170">
        <v>-3.32E-2</v>
      </c>
      <c r="C170">
        <v>0</v>
      </c>
      <c r="D170" s="3">
        <v>-0.10769671201705933</v>
      </c>
      <c r="E170" s="4">
        <v>-1.9975071772933006E-2</v>
      </c>
      <c r="F170" s="4">
        <f t="shared" si="4"/>
        <v>-0.10769671201705933</v>
      </c>
      <c r="G170" s="4">
        <f t="shared" si="5"/>
        <v>-1.9975071772933006E-2</v>
      </c>
    </row>
    <row r="171" spans="1:7" x14ac:dyDescent="0.35">
      <c r="A171" s="1">
        <v>41698</v>
      </c>
      <c r="B171">
        <v>4.6600000000000003E-2</v>
      </c>
      <c r="C171">
        <v>0</v>
      </c>
      <c r="D171" s="3">
        <v>5.7311195880174637E-2</v>
      </c>
      <c r="E171" s="4">
        <v>0.17611460387706757</v>
      </c>
      <c r="F171" s="4">
        <f t="shared" si="4"/>
        <v>5.7311195880174637E-2</v>
      </c>
      <c r="G171" s="4">
        <f t="shared" si="5"/>
        <v>0.17611460387706757</v>
      </c>
    </row>
    <row r="172" spans="1:7" x14ac:dyDescent="0.35">
      <c r="A172" s="1">
        <v>41729</v>
      </c>
      <c r="B172">
        <v>4.3E-3</v>
      </c>
      <c r="C172">
        <v>0</v>
      </c>
      <c r="D172" s="3">
        <v>1.9952872768044472E-2</v>
      </c>
      <c r="E172" s="4">
        <v>-2.557123638689518E-2</v>
      </c>
      <c r="F172" s="4">
        <f t="shared" si="4"/>
        <v>1.9952872768044472E-2</v>
      </c>
      <c r="G172" s="4">
        <f t="shared" si="5"/>
        <v>-2.557123638689518E-2</v>
      </c>
    </row>
    <row r="173" spans="1:7" x14ac:dyDescent="0.35">
      <c r="A173" s="1">
        <v>41759</v>
      </c>
      <c r="B173">
        <v>-1.8E-3</v>
      </c>
      <c r="C173">
        <v>0</v>
      </c>
      <c r="D173" s="3">
        <v>9.9396422505378723E-2</v>
      </c>
      <c r="E173" s="4">
        <v>3.1267419457435608E-2</v>
      </c>
      <c r="F173" s="4">
        <f t="shared" si="4"/>
        <v>9.9396422505378723E-2</v>
      </c>
      <c r="G173" s="4">
        <f t="shared" si="5"/>
        <v>3.1267419457435608E-2</v>
      </c>
    </row>
    <row r="174" spans="1:7" x14ac:dyDescent="0.35">
      <c r="A174" s="1">
        <v>41789</v>
      </c>
      <c r="B174">
        <v>2.0499999999999997E-2</v>
      </c>
      <c r="C174">
        <v>0</v>
      </c>
      <c r="D174" s="3">
        <v>7.8293092548847198E-2</v>
      </c>
      <c r="E174" s="4">
        <v>3.3297277987003326E-2</v>
      </c>
      <c r="F174" s="4">
        <f t="shared" si="4"/>
        <v>7.8293092548847198E-2</v>
      </c>
      <c r="G174" s="4">
        <f t="shared" si="5"/>
        <v>3.3297277987003326E-2</v>
      </c>
    </row>
    <row r="175" spans="1:7" x14ac:dyDescent="0.35">
      <c r="A175" s="1">
        <v>41820</v>
      </c>
      <c r="B175">
        <v>2.6000000000000002E-2</v>
      </c>
      <c r="C175">
        <v>0</v>
      </c>
      <c r="D175" s="3">
        <v>2.7661930769681931E-2</v>
      </c>
      <c r="E175" s="4">
        <v>-2.4210477247834206E-2</v>
      </c>
      <c r="F175" s="4">
        <f t="shared" si="4"/>
        <v>2.7661930769681931E-2</v>
      </c>
      <c r="G175" s="4">
        <f t="shared" si="5"/>
        <v>-2.4210477247834206E-2</v>
      </c>
    </row>
    <row r="176" spans="1:7" x14ac:dyDescent="0.35">
      <c r="A176" s="1">
        <v>41851</v>
      </c>
      <c r="B176">
        <v>-2.0299999999999999E-2</v>
      </c>
      <c r="C176">
        <v>0</v>
      </c>
      <c r="D176" s="3">
        <v>2.873128280043602E-2</v>
      </c>
      <c r="E176" s="4">
        <v>-5.6094978004693985E-2</v>
      </c>
      <c r="F176" s="4">
        <f t="shared" si="4"/>
        <v>2.873128280043602E-2</v>
      </c>
      <c r="G176" s="4">
        <f t="shared" si="5"/>
        <v>-5.6094978004693985E-2</v>
      </c>
    </row>
    <row r="177" spans="1:7" x14ac:dyDescent="0.35">
      <c r="A177" s="1">
        <v>41880</v>
      </c>
      <c r="B177">
        <v>4.24E-2</v>
      </c>
      <c r="C177">
        <v>0</v>
      </c>
      <c r="D177" s="3">
        <v>7.7092066407203674E-2</v>
      </c>
      <c r="E177" s="4">
        <v>0.11628575623035431</v>
      </c>
      <c r="F177" s="4">
        <f t="shared" si="4"/>
        <v>7.7092066407203674E-2</v>
      </c>
      <c r="G177" s="4">
        <f t="shared" si="5"/>
        <v>0.11628575623035431</v>
      </c>
    </row>
    <row r="178" spans="1:7" x14ac:dyDescent="0.35">
      <c r="A178" s="1">
        <v>41912</v>
      </c>
      <c r="B178">
        <v>-1.9599999999999999E-2</v>
      </c>
      <c r="C178">
        <v>0</v>
      </c>
      <c r="D178" s="3">
        <v>-1.7073171213269234E-2</v>
      </c>
      <c r="E178" s="4">
        <v>-5.1413878798484802E-2</v>
      </c>
      <c r="F178" s="4">
        <f t="shared" si="4"/>
        <v>-1.7073171213269234E-2</v>
      </c>
      <c r="G178" s="4">
        <f t="shared" si="5"/>
        <v>-5.1413878798484802E-2</v>
      </c>
    </row>
    <row r="179" spans="1:7" x14ac:dyDescent="0.35">
      <c r="A179" s="1">
        <v>41943</v>
      </c>
      <c r="B179">
        <v>2.5099999999999997E-2</v>
      </c>
      <c r="C179">
        <v>0</v>
      </c>
      <c r="D179" s="3">
        <v>7.1960300207138062E-2</v>
      </c>
      <c r="E179" s="4">
        <v>5.9078596532344818E-2</v>
      </c>
      <c r="F179" s="4">
        <f t="shared" si="4"/>
        <v>7.1960300207138062E-2</v>
      </c>
      <c r="G179" s="4">
        <f t="shared" si="5"/>
        <v>5.9078596532344818E-2</v>
      </c>
    </row>
    <row r="180" spans="1:7" x14ac:dyDescent="0.35">
      <c r="A180" s="1">
        <v>41971</v>
      </c>
      <c r="B180">
        <v>2.5600000000000001E-2</v>
      </c>
      <c r="C180">
        <v>0</v>
      </c>
      <c r="D180" s="3">
        <v>0.10555555671453476</v>
      </c>
      <c r="E180" s="4">
        <v>7.753317803144455E-2</v>
      </c>
      <c r="F180" s="4">
        <f t="shared" si="4"/>
        <v>0.10555555671453476</v>
      </c>
      <c r="G180" s="4">
        <f t="shared" si="5"/>
        <v>7.753317803144455E-2</v>
      </c>
    </row>
    <row r="181" spans="1:7" x14ac:dyDescent="0.35">
      <c r="A181" s="1">
        <v>42004</v>
      </c>
      <c r="B181">
        <v>-5.0000000000000001E-4</v>
      </c>
      <c r="C181">
        <v>0</v>
      </c>
      <c r="D181" s="3">
        <v>-7.1891054511070251E-2</v>
      </c>
      <c r="E181" s="4">
        <v>-4.3872203677892685E-2</v>
      </c>
      <c r="F181" s="4">
        <f t="shared" si="4"/>
        <v>-7.1891054511070251E-2</v>
      </c>
      <c r="G181" s="4">
        <f t="shared" si="5"/>
        <v>-4.3872203677892685E-2</v>
      </c>
    </row>
    <row r="182" spans="1:7" x14ac:dyDescent="0.35">
      <c r="A182" s="1">
        <v>42034</v>
      </c>
      <c r="B182">
        <v>-3.1E-2</v>
      </c>
      <c r="C182">
        <v>0</v>
      </c>
      <c r="D182" s="3">
        <v>6.1424229294061661E-2</v>
      </c>
      <c r="E182" s="4">
        <v>-4.2144604027271271E-2</v>
      </c>
      <c r="F182" s="4">
        <f t="shared" si="4"/>
        <v>6.1424229294061661E-2</v>
      </c>
      <c r="G182" s="4">
        <f t="shared" si="5"/>
        <v>-4.2144604027271271E-2</v>
      </c>
    </row>
    <row r="183" spans="1:7" x14ac:dyDescent="0.35">
      <c r="A183" s="1">
        <v>42062</v>
      </c>
      <c r="B183">
        <v>6.13E-2</v>
      </c>
      <c r="C183">
        <v>0</v>
      </c>
      <c r="D183" s="3">
        <v>0.10046093165874481</v>
      </c>
      <c r="E183" s="4">
        <v>0.15308511257171631</v>
      </c>
      <c r="F183" s="4">
        <f t="shared" si="4"/>
        <v>0.10046093165874481</v>
      </c>
      <c r="G183" s="4">
        <f t="shared" si="5"/>
        <v>0.15308511257171631</v>
      </c>
    </row>
    <row r="184" spans="1:7" x14ac:dyDescent="0.35">
      <c r="A184" s="1">
        <v>42094</v>
      </c>
      <c r="B184">
        <v>-1.11E-2</v>
      </c>
      <c r="C184">
        <v>0</v>
      </c>
      <c r="D184" s="3">
        <v>-3.137168288230896E-2</v>
      </c>
      <c r="E184" s="4">
        <v>-5.145060271024704E-2</v>
      </c>
      <c r="F184" s="4">
        <f t="shared" si="4"/>
        <v>-3.137168288230896E-2</v>
      </c>
      <c r="G184" s="4">
        <f t="shared" si="5"/>
        <v>-5.145060271024704E-2</v>
      </c>
    </row>
    <row r="185" spans="1:7" x14ac:dyDescent="0.35">
      <c r="A185" s="1">
        <v>42124</v>
      </c>
      <c r="B185">
        <v>5.8999999999999999E-3</v>
      </c>
      <c r="C185">
        <v>0</v>
      </c>
      <c r="D185" s="3">
        <v>5.7863956317305565E-3</v>
      </c>
      <c r="E185" s="4">
        <v>6.0692973434925079E-2</v>
      </c>
      <c r="F185" s="4">
        <f t="shared" si="4"/>
        <v>5.7863956317305565E-3</v>
      </c>
      <c r="G185" s="4">
        <f t="shared" si="5"/>
        <v>6.0692973434925079E-2</v>
      </c>
    </row>
    <row r="186" spans="1:7" x14ac:dyDescent="0.35">
      <c r="A186" s="1">
        <v>42153</v>
      </c>
      <c r="B186">
        <v>1.37E-2</v>
      </c>
      <c r="C186">
        <v>0</v>
      </c>
      <c r="D186" s="3">
        <v>4.5145802199840546E-2</v>
      </c>
      <c r="E186" s="4">
        <v>1.4642695896327496E-3</v>
      </c>
      <c r="F186" s="4">
        <f t="shared" si="4"/>
        <v>4.5145802199840546E-2</v>
      </c>
      <c r="G186" s="4">
        <f t="shared" si="5"/>
        <v>1.4642695896327496E-3</v>
      </c>
    </row>
    <row r="187" spans="1:7" x14ac:dyDescent="0.35">
      <c r="A187" s="1">
        <v>42185</v>
      </c>
      <c r="B187">
        <v>-1.52E-2</v>
      </c>
      <c r="C187">
        <v>0</v>
      </c>
      <c r="D187" s="3">
        <v>-3.7265855818986893E-2</v>
      </c>
      <c r="E187" s="4">
        <v>-9.1278746724128723E-2</v>
      </c>
      <c r="F187" s="4">
        <f t="shared" si="4"/>
        <v>-3.7265855818986893E-2</v>
      </c>
      <c r="G187" s="4">
        <f t="shared" si="5"/>
        <v>-9.1278746724128723E-2</v>
      </c>
    </row>
    <row r="188" spans="1:7" x14ac:dyDescent="0.35">
      <c r="A188" s="1">
        <v>42216</v>
      </c>
      <c r="B188">
        <v>1.5700000000000002E-2</v>
      </c>
      <c r="C188">
        <v>0</v>
      </c>
      <c r="D188" s="3">
        <v>-3.2888177782297134E-2</v>
      </c>
      <c r="E188" s="4">
        <v>-7.956232875585556E-3</v>
      </c>
      <c r="F188" s="4">
        <f t="shared" si="4"/>
        <v>-3.2888177782297134E-2</v>
      </c>
      <c r="G188" s="4">
        <f t="shared" si="5"/>
        <v>-7.956232875585556E-3</v>
      </c>
    </row>
    <row r="189" spans="1:7" x14ac:dyDescent="0.35">
      <c r="A189" s="1">
        <v>42247</v>
      </c>
      <c r="B189">
        <v>-6.0199999999999997E-2</v>
      </c>
      <c r="C189">
        <v>0</v>
      </c>
      <c r="D189" s="3">
        <v>-6.6117070615291595E-2</v>
      </c>
      <c r="E189" s="4">
        <v>0.13170419633388519</v>
      </c>
      <c r="F189" s="4">
        <f t="shared" si="4"/>
        <v>-6.6117070615291595E-2</v>
      </c>
      <c r="G189" s="4">
        <f t="shared" si="5"/>
        <v>0.13170419633388519</v>
      </c>
    </row>
    <row r="190" spans="1:7" x14ac:dyDescent="0.35">
      <c r="A190" s="1">
        <v>42277</v>
      </c>
      <c r="B190">
        <v>-3.0600000000000002E-2</v>
      </c>
      <c r="C190">
        <v>0</v>
      </c>
      <c r="D190" s="3">
        <v>-2.1816238760948181E-2</v>
      </c>
      <c r="E190" s="4">
        <v>9.6530251204967499E-2</v>
      </c>
      <c r="F190" s="4">
        <f t="shared" si="4"/>
        <v>-2.1816238760948181E-2</v>
      </c>
      <c r="G190" s="4">
        <f t="shared" si="5"/>
        <v>9.6530251204967499E-2</v>
      </c>
    </row>
    <row r="191" spans="1:7" x14ac:dyDescent="0.35">
      <c r="A191" s="1">
        <v>42307</v>
      </c>
      <c r="B191">
        <v>7.7499999999999999E-2</v>
      </c>
      <c r="C191">
        <v>0</v>
      </c>
      <c r="D191" s="3">
        <v>8.3408854901790619E-2</v>
      </c>
      <c r="E191" s="4">
        <v>0.15091283619403839</v>
      </c>
      <c r="F191" s="4">
        <f t="shared" si="4"/>
        <v>8.3408854901790619E-2</v>
      </c>
      <c r="G191" s="4">
        <f t="shared" si="5"/>
        <v>0.15091283619403839</v>
      </c>
    </row>
    <row r="192" spans="1:7" x14ac:dyDescent="0.35">
      <c r="A192" s="1">
        <v>42338</v>
      </c>
      <c r="B192">
        <v>5.6999999999999993E-3</v>
      </c>
      <c r="C192">
        <v>0</v>
      </c>
      <c r="D192" s="3">
        <v>-5.690351128578186E-3</v>
      </c>
      <c r="E192" s="4">
        <v>0.12213600426912308</v>
      </c>
      <c r="F192" s="4">
        <f t="shared" si="4"/>
        <v>-5.690351128578186E-3</v>
      </c>
      <c r="G192" s="4">
        <f t="shared" si="5"/>
        <v>0.12213600426912308</v>
      </c>
    </row>
    <row r="193" spans="1:7" x14ac:dyDescent="0.35">
      <c r="A193" s="1">
        <v>42369</v>
      </c>
      <c r="B193">
        <v>-2.1499999999999998E-2</v>
      </c>
      <c r="C193">
        <v>1E-4</v>
      </c>
      <c r="D193" s="3">
        <v>-0.11022824048995972</v>
      </c>
      <c r="E193" s="4">
        <v>3.90920490026474E-2</v>
      </c>
      <c r="F193" s="4">
        <f t="shared" si="4"/>
        <v>-0.11032824048995972</v>
      </c>
      <c r="G193" s="4">
        <f t="shared" si="5"/>
        <v>3.8992049002647397E-2</v>
      </c>
    </row>
    <row r="194" spans="1:7" x14ac:dyDescent="0.35">
      <c r="A194" s="1">
        <v>42398</v>
      </c>
      <c r="B194">
        <v>-5.74E-2</v>
      </c>
      <c r="C194">
        <v>1E-4</v>
      </c>
      <c r="D194" s="3">
        <v>-7.5242310762405396E-2</v>
      </c>
      <c r="E194" s="4">
        <v>-0.11134703457355499</v>
      </c>
      <c r="F194" s="4">
        <f t="shared" si="4"/>
        <v>-7.5342310762405398E-2</v>
      </c>
      <c r="G194" s="4">
        <f t="shared" si="5"/>
        <v>-0.111447034573555</v>
      </c>
    </row>
    <row r="195" spans="1:7" x14ac:dyDescent="0.35">
      <c r="A195" s="1">
        <v>42429</v>
      </c>
      <c r="B195">
        <v>-5.9999999999999995E-4</v>
      </c>
      <c r="C195">
        <v>2.0000000000000001E-4</v>
      </c>
      <c r="D195" s="3">
        <v>-1.3354625552892685E-3</v>
      </c>
      <c r="E195" s="4">
        <v>7.4598826467990875E-2</v>
      </c>
      <c r="F195" s="4">
        <f t="shared" ref="F195:F258" si="6">D195-C195</f>
        <v>-1.5354625552892686E-3</v>
      </c>
      <c r="G195" s="4">
        <f t="shared" ref="G195:G258" si="7">E195-C195</f>
        <v>7.439882646799087E-2</v>
      </c>
    </row>
    <row r="196" spans="1:7" x14ac:dyDescent="0.35">
      <c r="A196" s="1">
        <v>42460</v>
      </c>
      <c r="B196">
        <v>6.9500000000000006E-2</v>
      </c>
      <c r="C196">
        <v>2.0000000000000001E-4</v>
      </c>
      <c r="D196" s="3">
        <v>0.12721061706542969</v>
      </c>
      <c r="E196" s="4">
        <v>0.13616073131561279</v>
      </c>
      <c r="F196" s="4">
        <f t="shared" si="6"/>
        <v>0.12701061706542968</v>
      </c>
      <c r="G196" s="4">
        <f t="shared" si="7"/>
        <v>0.13596073131561279</v>
      </c>
    </row>
    <row r="197" spans="1:7" x14ac:dyDescent="0.35">
      <c r="A197" s="1">
        <v>42489</v>
      </c>
      <c r="B197">
        <v>9.1999999999999998E-3</v>
      </c>
      <c r="C197">
        <v>1E-4</v>
      </c>
      <c r="D197" s="3">
        <v>-0.13992109894752502</v>
      </c>
      <c r="E197" s="4">
        <v>-2.8066877275705338E-3</v>
      </c>
      <c r="F197" s="4">
        <f t="shared" si="6"/>
        <v>-0.14002109894752501</v>
      </c>
      <c r="G197" s="4">
        <f t="shared" si="7"/>
        <v>-2.9066877275705336E-3</v>
      </c>
    </row>
    <row r="198" spans="1:7" x14ac:dyDescent="0.35">
      <c r="A198" s="1">
        <v>42521</v>
      </c>
      <c r="B198">
        <v>1.78E-2</v>
      </c>
      <c r="C198">
        <v>1E-4</v>
      </c>
      <c r="D198" s="3">
        <v>7.1367643773555756E-2</v>
      </c>
      <c r="E198" s="4">
        <v>0.31818190217018127</v>
      </c>
      <c r="F198" s="4">
        <f t="shared" si="6"/>
        <v>7.1267643773555753E-2</v>
      </c>
      <c r="G198" s="4">
        <f t="shared" si="7"/>
        <v>0.31808190217018129</v>
      </c>
    </row>
    <row r="199" spans="1:7" x14ac:dyDescent="0.35">
      <c r="A199" s="1">
        <v>42551</v>
      </c>
      <c r="B199">
        <v>-2.9999999999999997E-4</v>
      </c>
      <c r="C199">
        <v>2.0000000000000001E-4</v>
      </c>
      <c r="D199" s="3">
        <v>-4.2659744620323181E-2</v>
      </c>
      <c r="E199" s="4">
        <v>6.2071294523775578E-3</v>
      </c>
      <c r="F199" s="4">
        <f t="shared" si="6"/>
        <v>-4.285974462032318E-2</v>
      </c>
      <c r="G199" s="4">
        <f t="shared" si="7"/>
        <v>6.0071294523775581E-3</v>
      </c>
    </row>
    <row r="200" spans="1:7" x14ac:dyDescent="0.35">
      <c r="A200" s="1">
        <v>42580</v>
      </c>
      <c r="B200">
        <v>3.9399999999999998E-2</v>
      </c>
      <c r="C200">
        <v>2.0000000000000001E-4</v>
      </c>
      <c r="D200" s="3">
        <v>9.0062767267227173E-2</v>
      </c>
      <c r="E200" s="4">
        <v>0.21463519334793091</v>
      </c>
      <c r="F200" s="4">
        <f t="shared" si="6"/>
        <v>8.9862767267227167E-2</v>
      </c>
      <c r="G200" s="4">
        <f t="shared" si="7"/>
        <v>0.2144351933479309</v>
      </c>
    </row>
    <row r="201" spans="1:7" x14ac:dyDescent="0.35">
      <c r="A201" s="1">
        <v>42613</v>
      </c>
      <c r="B201">
        <v>4.8999999999999998E-3</v>
      </c>
      <c r="C201">
        <v>2.0000000000000001E-4</v>
      </c>
      <c r="D201" s="3">
        <v>2.3606173694133759E-2</v>
      </c>
      <c r="E201" s="4">
        <v>7.6269730925559998E-2</v>
      </c>
      <c r="F201" s="4">
        <f t="shared" si="6"/>
        <v>2.340617369413376E-2</v>
      </c>
      <c r="G201" s="4">
        <f t="shared" si="7"/>
        <v>7.6069730925559992E-2</v>
      </c>
    </row>
    <row r="202" spans="1:7" x14ac:dyDescent="0.35">
      <c r="A202" s="1">
        <v>42643</v>
      </c>
      <c r="B202">
        <v>2.7000000000000001E-3</v>
      </c>
      <c r="C202">
        <v>2.0000000000000001E-4</v>
      </c>
      <c r="D202" s="3">
        <v>6.5504282712936401E-2</v>
      </c>
      <c r="E202" s="4">
        <v>0.11705243587493896</v>
      </c>
      <c r="F202" s="4">
        <f t="shared" si="6"/>
        <v>6.5304282712936396E-2</v>
      </c>
      <c r="G202" s="4">
        <f t="shared" si="7"/>
        <v>0.11685243587493896</v>
      </c>
    </row>
    <row r="203" spans="1:7" x14ac:dyDescent="0.35">
      <c r="A203" s="1">
        <v>42674</v>
      </c>
      <c r="B203">
        <v>-2.0099999999999996E-2</v>
      </c>
      <c r="C203">
        <v>2.0000000000000001E-4</v>
      </c>
      <c r="D203" s="3">
        <v>4.3343463912606239E-3</v>
      </c>
      <c r="E203" s="4">
        <v>3.8529001176357269E-2</v>
      </c>
      <c r="F203" s="4">
        <f t="shared" si="6"/>
        <v>4.1343463912606243E-3</v>
      </c>
      <c r="G203" s="4">
        <f t="shared" si="7"/>
        <v>3.832900117635727E-2</v>
      </c>
    </row>
    <row r="204" spans="1:7" x14ac:dyDescent="0.35">
      <c r="A204" s="1">
        <v>42704</v>
      </c>
      <c r="B204">
        <v>4.8600000000000004E-2</v>
      </c>
      <c r="C204">
        <v>1E-4</v>
      </c>
      <c r="D204" s="3">
        <v>-2.1578336134552956E-2</v>
      </c>
      <c r="E204" s="4">
        <v>0.29763901233673096</v>
      </c>
      <c r="F204" s="4">
        <f t="shared" si="6"/>
        <v>-2.1678336134552955E-2</v>
      </c>
      <c r="G204" s="4">
        <f t="shared" si="7"/>
        <v>0.29753901233673097</v>
      </c>
    </row>
    <row r="205" spans="1:7" x14ac:dyDescent="0.35">
      <c r="A205" s="1">
        <v>42734</v>
      </c>
      <c r="B205">
        <v>1.8100000000000002E-2</v>
      </c>
      <c r="C205">
        <v>2.9999999999999997E-4</v>
      </c>
      <c r="D205" s="3">
        <v>4.795515164732933E-2</v>
      </c>
      <c r="E205" s="4">
        <v>0.15770067274570465</v>
      </c>
      <c r="F205" s="4">
        <f t="shared" si="6"/>
        <v>4.7655151647329329E-2</v>
      </c>
      <c r="G205" s="4">
        <f t="shared" si="7"/>
        <v>0.15740067274570466</v>
      </c>
    </row>
    <row r="206" spans="1:7" x14ac:dyDescent="0.35">
      <c r="A206" s="1">
        <v>42766</v>
      </c>
      <c r="B206">
        <v>1.9400000000000001E-2</v>
      </c>
      <c r="C206">
        <v>4.0000000000000002E-4</v>
      </c>
      <c r="D206" s="3">
        <v>4.774649441242218E-2</v>
      </c>
      <c r="E206" s="4">
        <v>2.2859307006001472E-2</v>
      </c>
      <c r="F206" s="4">
        <f t="shared" si="6"/>
        <v>4.7346494412422183E-2</v>
      </c>
      <c r="G206" s="4">
        <f t="shared" si="7"/>
        <v>2.2459307006001471E-2</v>
      </c>
    </row>
    <row r="207" spans="1:7" x14ac:dyDescent="0.35">
      <c r="A207" s="1">
        <v>42794</v>
      </c>
      <c r="B207">
        <v>3.5499999999999997E-2</v>
      </c>
      <c r="C207">
        <v>4.0000000000000002E-4</v>
      </c>
      <c r="D207" s="3">
        <v>0.13358061015605927</v>
      </c>
      <c r="E207" s="4">
        <v>-6.9243423640727997E-2</v>
      </c>
      <c r="F207" s="4">
        <f t="shared" si="6"/>
        <v>0.13318061015605925</v>
      </c>
      <c r="G207" s="4">
        <f t="shared" si="7"/>
        <v>-6.9643423640727994E-2</v>
      </c>
    </row>
    <row r="208" spans="1:7" x14ac:dyDescent="0.35">
      <c r="A208" s="1">
        <v>42825</v>
      </c>
      <c r="B208">
        <v>1.7000000000000001E-3</v>
      </c>
      <c r="C208">
        <v>2.9999999999999997E-4</v>
      </c>
      <c r="D208" s="3">
        <v>4.8689670860767365E-2</v>
      </c>
      <c r="E208" s="4">
        <v>7.3413446545600891E-2</v>
      </c>
      <c r="F208" s="4">
        <f t="shared" si="6"/>
        <v>4.8389670860767363E-2</v>
      </c>
      <c r="G208" s="4">
        <f t="shared" si="7"/>
        <v>7.3113446545600896E-2</v>
      </c>
    </row>
    <row r="209" spans="1:7" x14ac:dyDescent="0.35">
      <c r="A209" s="1">
        <v>42853</v>
      </c>
      <c r="B209">
        <v>1.0800000000000001E-2</v>
      </c>
      <c r="C209">
        <v>5.0000000000000001E-4</v>
      </c>
      <c r="D209" s="3">
        <v>-6.9676774728577584E-5</v>
      </c>
      <c r="E209" s="4">
        <v>-4.2504336684942245E-2</v>
      </c>
      <c r="F209" s="4">
        <f t="shared" si="6"/>
        <v>-5.6967677472857759E-4</v>
      </c>
      <c r="G209" s="4">
        <f t="shared" si="7"/>
        <v>-4.3004336684942246E-2</v>
      </c>
    </row>
    <row r="210" spans="1:7" x14ac:dyDescent="0.35">
      <c r="A210" s="1">
        <v>42886</v>
      </c>
      <c r="B210">
        <v>1.0700000000000001E-2</v>
      </c>
      <c r="C210">
        <v>5.9999999999999995E-4</v>
      </c>
      <c r="D210" s="3">
        <v>6.7803695797920227E-2</v>
      </c>
      <c r="E210" s="4">
        <v>0.38533079624176025</v>
      </c>
      <c r="F210" s="4">
        <f t="shared" si="6"/>
        <v>6.7203695797920224E-2</v>
      </c>
      <c r="G210" s="4">
        <f t="shared" si="7"/>
        <v>0.38473079624176026</v>
      </c>
    </row>
    <row r="211" spans="1:7" x14ac:dyDescent="0.35">
      <c r="A211" s="1">
        <v>42916</v>
      </c>
      <c r="B211">
        <v>7.9000000000000008E-3</v>
      </c>
      <c r="C211">
        <v>5.9999999999999995E-4</v>
      </c>
      <c r="D211" s="3">
        <v>-5.7213868945837021E-2</v>
      </c>
      <c r="E211" s="4">
        <v>1.4547380851581693E-3</v>
      </c>
      <c r="F211" s="4">
        <f t="shared" si="6"/>
        <v>-5.7813868945837024E-2</v>
      </c>
      <c r="G211" s="4">
        <f t="shared" si="7"/>
        <v>8.5473808515816932E-4</v>
      </c>
    </row>
    <row r="212" spans="1:7" x14ac:dyDescent="0.35">
      <c r="A212" s="1">
        <v>42947</v>
      </c>
      <c r="B212">
        <v>1.8799999999999997E-2</v>
      </c>
      <c r="C212">
        <v>7.000000000000001E-4</v>
      </c>
      <c r="D212" s="3">
        <v>3.2703731209039688E-2</v>
      </c>
      <c r="E212" s="4">
        <v>0.12416987866163254</v>
      </c>
      <c r="F212" s="4">
        <f t="shared" si="6"/>
        <v>3.2003731209039689E-2</v>
      </c>
      <c r="G212" s="4">
        <f t="shared" si="7"/>
        <v>0.12346987866163253</v>
      </c>
    </row>
    <row r="213" spans="1:7" x14ac:dyDescent="0.35">
      <c r="A213" s="1">
        <v>42978</v>
      </c>
      <c r="B213">
        <v>1.8E-3</v>
      </c>
      <c r="C213">
        <v>8.9999999999999998E-4</v>
      </c>
      <c r="D213" s="3">
        <v>0.10690516233444214</v>
      </c>
      <c r="E213" s="4">
        <v>4.3505065143108368E-2</v>
      </c>
      <c r="F213" s="4">
        <f t="shared" si="6"/>
        <v>0.10600516233444214</v>
      </c>
      <c r="G213" s="4">
        <f t="shared" si="7"/>
        <v>4.260506514310837E-2</v>
      </c>
    </row>
    <row r="214" spans="1:7" x14ac:dyDescent="0.35">
      <c r="A214" s="1">
        <v>43007</v>
      </c>
      <c r="B214">
        <v>2.4900000000000002E-2</v>
      </c>
      <c r="C214">
        <v>8.9999999999999998E-4</v>
      </c>
      <c r="D214" s="3">
        <v>-6.0243930667638779E-2</v>
      </c>
      <c r="E214" s="4">
        <v>5.5063750594854355E-2</v>
      </c>
      <c r="F214" s="4">
        <f t="shared" si="6"/>
        <v>-6.1143930667638777E-2</v>
      </c>
      <c r="G214" s="4">
        <f t="shared" si="7"/>
        <v>5.4163750594854357E-2</v>
      </c>
    </row>
    <row r="215" spans="1:7" x14ac:dyDescent="0.35">
      <c r="A215" s="1">
        <v>43039</v>
      </c>
      <c r="B215">
        <v>2.2599999999999999E-2</v>
      </c>
      <c r="C215">
        <v>8.9999999999999998E-4</v>
      </c>
      <c r="D215" s="3">
        <v>9.6807673573493958E-2</v>
      </c>
      <c r="E215" s="4">
        <v>0.15684954822063446</v>
      </c>
      <c r="F215" s="4">
        <f t="shared" si="6"/>
        <v>9.5907673573493959E-2</v>
      </c>
      <c r="G215" s="4">
        <f t="shared" si="7"/>
        <v>0.15594954822063445</v>
      </c>
    </row>
    <row r="216" spans="1:7" x14ac:dyDescent="0.35">
      <c r="A216" s="1">
        <v>43069</v>
      </c>
      <c r="B216">
        <v>3.1200000000000002E-2</v>
      </c>
      <c r="C216">
        <v>8.0000000000000004E-4</v>
      </c>
      <c r="D216" s="3">
        <v>2.0350290462374687E-2</v>
      </c>
      <c r="E216" s="4">
        <v>-2.877032570540905E-2</v>
      </c>
      <c r="F216" s="4">
        <f t="shared" si="6"/>
        <v>1.9550290462374689E-2</v>
      </c>
      <c r="G216" s="4">
        <f t="shared" si="7"/>
        <v>-2.9570325705409049E-2</v>
      </c>
    </row>
    <row r="217" spans="1:7" x14ac:dyDescent="0.35">
      <c r="A217" s="1">
        <v>43098</v>
      </c>
      <c r="B217">
        <v>1.06E-2</v>
      </c>
      <c r="C217">
        <v>8.9999999999999998E-4</v>
      </c>
      <c r="D217" s="3">
        <v>-1.5245913527905941E-2</v>
      </c>
      <c r="E217" s="4">
        <v>-3.592250868678093E-2</v>
      </c>
      <c r="F217" s="4">
        <f t="shared" si="6"/>
        <v>-1.6145913527905943E-2</v>
      </c>
      <c r="G217" s="4">
        <f t="shared" si="7"/>
        <v>-3.6822508686780928E-2</v>
      </c>
    </row>
    <row r="218" spans="1:7" x14ac:dyDescent="0.35">
      <c r="A218" s="1">
        <v>43131</v>
      </c>
      <c r="B218">
        <v>5.5800000000000002E-2</v>
      </c>
      <c r="C218">
        <v>1.1000000000000001E-3</v>
      </c>
      <c r="D218" s="3">
        <v>-1.0636430233716965E-2</v>
      </c>
      <c r="E218" s="4">
        <v>0.2702842652797699</v>
      </c>
      <c r="F218" s="4">
        <f t="shared" si="6"/>
        <v>-1.1736430233716965E-2</v>
      </c>
      <c r="G218" s="4">
        <f t="shared" si="7"/>
        <v>0.26918426527976991</v>
      </c>
    </row>
    <row r="219" spans="1:7" x14ac:dyDescent="0.35">
      <c r="A219" s="1">
        <v>43159</v>
      </c>
      <c r="B219">
        <v>-3.6400000000000002E-2</v>
      </c>
      <c r="C219">
        <v>1.1000000000000001E-3</v>
      </c>
      <c r="D219" s="3">
        <v>6.7610360682010651E-2</v>
      </c>
      <c r="E219" s="4">
        <v>-1.4849483035504818E-2</v>
      </c>
      <c r="F219" s="4">
        <f t="shared" si="6"/>
        <v>6.6510360682010647E-2</v>
      </c>
      <c r="G219" s="4">
        <f t="shared" si="7"/>
        <v>-1.5949483035504818E-2</v>
      </c>
    </row>
    <row r="220" spans="1:7" x14ac:dyDescent="0.35">
      <c r="A220" s="1">
        <v>43188</v>
      </c>
      <c r="B220">
        <v>-2.35E-2</v>
      </c>
      <c r="C220">
        <v>1.1999999999999999E-3</v>
      </c>
      <c r="D220" s="3">
        <v>-5.8050733059644699E-2</v>
      </c>
      <c r="E220" s="4">
        <v>-4.3016545474529266E-2</v>
      </c>
      <c r="F220" s="4">
        <f t="shared" si="6"/>
        <v>-5.9250733059644699E-2</v>
      </c>
      <c r="G220" s="4">
        <f t="shared" si="7"/>
        <v>-4.4216545474529266E-2</v>
      </c>
    </row>
    <row r="221" spans="1:7" x14ac:dyDescent="0.35">
      <c r="A221" s="1">
        <v>43220</v>
      </c>
      <c r="B221">
        <v>2.7000000000000001E-3</v>
      </c>
      <c r="C221">
        <v>1.4000000000000002E-3</v>
      </c>
      <c r="D221" s="3">
        <v>-1.5019694343209267E-2</v>
      </c>
      <c r="E221" s="4">
        <v>-2.8887268155813217E-2</v>
      </c>
      <c r="F221" s="4">
        <f t="shared" si="6"/>
        <v>-1.6419694343209265E-2</v>
      </c>
      <c r="G221" s="4">
        <f t="shared" si="7"/>
        <v>-3.0287268155813216E-2</v>
      </c>
    </row>
    <row r="222" spans="1:7" x14ac:dyDescent="0.35">
      <c r="A222" s="1">
        <v>43251</v>
      </c>
      <c r="B222">
        <v>2.6600000000000002E-2</v>
      </c>
      <c r="C222">
        <v>1.4000000000000002E-3</v>
      </c>
      <c r="D222" s="3">
        <v>0.13518093526363373</v>
      </c>
      <c r="E222" s="4">
        <v>0.12200982123613358</v>
      </c>
      <c r="F222" s="4">
        <f t="shared" si="6"/>
        <v>0.13378093526363372</v>
      </c>
      <c r="G222" s="4">
        <f t="shared" si="7"/>
        <v>0.12060982123613358</v>
      </c>
    </row>
    <row r="223" spans="1:7" x14ac:dyDescent="0.35">
      <c r="A223" s="1">
        <v>43280</v>
      </c>
      <c r="B223">
        <v>4.8999999999999998E-3</v>
      </c>
      <c r="C223">
        <v>1.4000000000000002E-3</v>
      </c>
      <c r="D223" s="3">
        <v>-9.4182826578617096E-3</v>
      </c>
      <c r="E223" s="4">
        <v>-6.0628924518823624E-2</v>
      </c>
      <c r="F223" s="4">
        <f t="shared" si="6"/>
        <v>-1.081828265786171E-2</v>
      </c>
      <c r="G223" s="4">
        <f t="shared" si="7"/>
        <v>-6.2028924518823622E-2</v>
      </c>
    </row>
    <row r="224" spans="1:7" x14ac:dyDescent="0.35">
      <c r="A224" s="1">
        <v>43312</v>
      </c>
      <c r="B224">
        <v>3.2000000000000001E-2</v>
      </c>
      <c r="C224">
        <v>1.6000000000000001E-3</v>
      </c>
      <c r="D224" s="3">
        <v>2.7983320876955986E-2</v>
      </c>
      <c r="E224" s="4">
        <v>3.3600702881813049E-2</v>
      </c>
      <c r="F224" s="4">
        <f t="shared" si="6"/>
        <v>2.6383320876955985E-2</v>
      </c>
      <c r="G224" s="4">
        <f t="shared" si="7"/>
        <v>3.2000702881813052E-2</v>
      </c>
    </row>
    <row r="225" spans="1:7" x14ac:dyDescent="0.35">
      <c r="A225" s="1">
        <v>43343</v>
      </c>
      <c r="B225">
        <v>3.4500000000000003E-2</v>
      </c>
      <c r="C225">
        <v>1.6000000000000001E-3</v>
      </c>
      <c r="D225" s="3">
        <v>0.20006312429904938</v>
      </c>
      <c r="E225" s="4">
        <v>0.1469002366065979</v>
      </c>
      <c r="F225" s="4">
        <f t="shared" si="6"/>
        <v>0.19846312429904939</v>
      </c>
      <c r="G225" s="4">
        <f t="shared" si="7"/>
        <v>0.14530023660659791</v>
      </c>
    </row>
    <row r="226" spans="1:7" x14ac:dyDescent="0.35">
      <c r="A226" s="1">
        <v>43371</v>
      </c>
      <c r="B226">
        <v>5.9999999999999995E-4</v>
      </c>
      <c r="C226">
        <v>1.5E-3</v>
      </c>
      <c r="D226" s="3">
        <v>-8.3029447123408318E-3</v>
      </c>
      <c r="E226" s="4">
        <v>1.211330876685679E-3</v>
      </c>
      <c r="F226" s="4">
        <f t="shared" si="6"/>
        <v>-9.8029447123408314E-3</v>
      </c>
      <c r="G226" s="4">
        <f t="shared" si="7"/>
        <v>-2.8866912331432107E-4</v>
      </c>
    </row>
    <row r="227" spans="1:7" x14ac:dyDescent="0.35">
      <c r="A227" s="1">
        <v>43404</v>
      </c>
      <c r="B227">
        <v>-7.6499999999999999E-2</v>
      </c>
      <c r="C227">
        <v>1.9E-3</v>
      </c>
      <c r="D227" s="3">
        <v>-3.0477561056613922E-2</v>
      </c>
      <c r="E227" s="4">
        <v>-0.24976865947246552</v>
      </c>
      <c r="F227" s="4">
        <f t="shared" si="6"/>
        <v>-3.2377561056613921E-2</v>
      </c>
      <c r="G227" s="4">
        <f t="shared" si="7"/>
        <v>-0.25166865947246553</v>
      </c>
    </row>
    <row r="228" spans="1:7" x14ac:dyDescent="0.35">
      <c r="A228" s="1">
        <v>43434</v>
      </c>
      <c r="B228">
        <v>1.7100000000000001E-2</v>
      </c>
      <c r="C228">
        <v>1.8E-3</v>
      </c>
      <c r="D228" s="3">
        <v>-0.1807091236114502</v>
      </c>
      <c r="E228" s="4">
        <v>-0.22406682372093201</v>
      </c>
      <c r="F228" s="4">
        <f t="shared" si="6"/>
        <v>-0.18250912361145019</v>
      </c>
      <c r="G228" s="4">
        <f t="shared" si="7"/>
        <v>-0.225866823720932</v>
      </c>
    </row>
    <row r="229" spans="1:7" x14ac:dyDescent="0.35">
      <c r="A229" s="1">
        <v>43465</v>
      </c>
      <c r="B229">
        <v>-9.5500000000000002E-2</v>
      </c>
      <c r="C229">
        <v>1.9E-3</v>
      </c>
      <c r="D229" s="3">
        <v>-0.11669837683439255</v>
      </c>
      <c r="E229" s="4">
        <v>-0.1831364780664444</v>
      </c>
      <c r="F229" s="4">
        <f t="shared" si="6"/>
        <v>-0.11859837683439255</v>
      </c>
      <c r="G229" s="4">
        <f t="shared" si="7"/>
        <v>-0.18503647806644441</v>
      </c>
    </row>
    <row r="230" spans="1:7" x14ac:dyDescent="0.35">
      <c r="A230" s="1">
        <v>43496</v>
      </c>
      <c r="B230">
        <v>8.3699999999999997E-2</v>
      </c>
      <c r="C230">
        <v>2.0999999999999999E-3</v>
      </c>
      <c r="D230" s="3">
        <v>5.5154029279947281E-2</v>
      </c>
      <c r="E230" s="4">
        <v>7.6779022812843323E-2</v>
      </c>
      <c r="F230" s="4">
        <f t="shared" si="6"/>
        <v>5.3054029279947283E-2</v>
      </c>
      <c r="G230" s="4">
        <f t="shared" si="7"/>
        <v>7.4679022812843318E-2</v>
      </c>
    </row>
    <row r="231" spans="1:7" x14ac:dyDescent="0.35">
      <c r="A231" s="1">
        <v>43524</v>
      </c>
      <c r="B231">
        <v>3.4200000000000001E-2</v>
      </c>
      <c r="C231">
        <v>1.8E-3</v>
      </c>
      <c r="D231" s="3">
        <v>4.4700741767883301E-2</v>
      </c>
      <c r="E231" s="4">
        <v>7.4226051568984985E-2</v>
      </c>
      <c r="F231" s="4">
        <f t="shared" si="6"/>
        <v>4.2900741767883298E-2</v>
      </c>
      <c r="G231" s="4">
        <f t="shared" si="7"/>
        <v>7.2426051568984989E-2</v>
      </c>
    </row>
    <row r="232" spans="1:7" x14ac:dyDescent="0.35">
      <c r="A232" s="1">
        <v>43553</v>
      </c>
      <c r="B232">
        <v>1.1000000000000001E-2</v>
      </c>
      <c r="C232">
        <v>1.9E-3</v>
      </c>
      <c r="D232" s="3">
        <v>9.702572226524353E-2</v>
      </c>
      <c r="E232" s="4">
        <v>0.16400884091854095</v>
      </c>
      <c r="F232" s="4">
        <f t="shared" si="6"/>
        <v>9.5125722265243531E-2</v>
      </c>
      <c r="G232" s="4">
        <f t="shared" si="7"/>
        <v>0.16210884091854094</v>
      </c>
    </row>
    <row r="233" spans="1:7" x14ac:dyDescent="0.35">
      <c r="A233" s="1">
        <v>43585</v>
      </c>
      <c r="B233">
        <v>3.9699999999999999E-2</v>
      </c>
      <c r="C233">
        <v>2.0999999999999999E-3</v>
      </c>
      <c r="D233" s="3">
        <v>5.6435912847518921E-2</v>
      </c>
      <c r="E233" s="4">
        <v>8.0196168273687363E-3</v>
      </c>
      <c r="F233" s="4">
        <f t="shared" si="6"/>
        <v>5.4335912847518923E-2</v>
      </c>
      <c r="G233" s="4">
        <f t="shared" si="7"/>
        <v>5.9196168273687368E-3</v>
      </c>
    </row>
    <row r="234" spans="1:7" x14ac:dyDescent="0.35">
      <c r="A234" s="1">
        <v>43616</v>
      </c>
      <c r="B234">
        <v>-6.9199999999999998E-2</v>
      </c>
      <c r="C234">
        <v>2.0999999999999999E-3</v>
      </c>
      <c r="D234" s="3">
        <v>-0.12373544275760651</v>
      </c>
      <c r="E234" s="4">
        <v>-0.25071820616722107</v>
      </c>
      <c r="F234" s="4">
        <f t="shared" si="6"/>
        <v>-0.1258354427576065</v>
      </c>
      <c r="G234" s="4">
        <f t="shared" si="7"/>
        <v>-0.25281820616722106</v>
      </c>
    </row>
    <row r="235" spans="1:7" x14ac:dyDescent="0.35">
      <c r="A235" s="1">
        <v>43644</v>
      </c>
      <c r="B235">
        <v>6.9900000000000004E-2</v>
      </c>
      <c r="C235">
        <v>1.8E-3</v>
      </c>
      <c r="D235" s="3">
        <v>0.13051916658878326</v>
      </c>
      <c r="E235" s="4">
        <v>0.2123873233795166</v>
      </c>
      <c r="F235" s="4">
        <f t="shared" si="6"/>
        <v>0.12871916658878327</v>
      </c>
      <c r="G235" s="4">
        <f t="shared" si="7"/>
        <v>0.21058732337951661</v>
      </c>
    </row>
    <row r="236" spans="1:7" x14ac:dyDescent="0.35">
      <c r="A236" s="1">
        <v>43677</v>
      </c>
      <c r="B236">
        <v>1.23E-2</v>
      </c>
      <c r="C236">
        <v>1.9E-3</v>
      </c>
      <c r="D236" s="3">
        <v>7.6394475996494293E-2</v>
      </c>
      <c r="E236" s="4">
        <v>2.7339741587638855E-2</v>
      </c>
      <c r="F236" s="4">
        <f t="shared" si="6"/>
        <v>7.4494475996494294E-2</v>
      </c>
      <c r="G236" s="4">
        <f t="shared" si="7"/>
        <v>2.5439741587638856E-2</v>
      </c>
    </row>
    <row r="237" spans="1:7" x14ac:dyDescent="0.35">
      <c r="A237" s="1">
        <v>43707</v>
      </c>
      <c r="B237">
        <v>-2.5499999999999998E-2</v>
      </c>
      <c r="C237">
        <v>1.6000000000000001E-3</v>
      </c>
      <c r="D237" s="3">
        <v>-1.6569601371884346E-2</v>
      </c>
      <c r="E237" s="4">
        <v>-6.2233684584498405E-3</v>
      </c>
      <c r="F237" s="4">
        <f t="shared" si="6"/>
        <v>-1.8169601371884347E-2</v>
      </c>
      <c r="G237" s="4">
        <f t="shared" si="7"/>
        <v>-7.8233684584498413E-3</v>
      </c>
    </row>
    <row r="238" spans="1:7" x14ac:dyDescent="0.35">
      <c r="A238" s="1">
        <v>43738</v>
      </c>
      <c r="B238">
        <v>1.41E-2</v>
      </c>
      <c r="C238">
        <v>1.8E-3</v>
      </c>
      <c r="D238" s="3">
        <v>7.2961553931236267E-2</v>
      </c>
      <c r="E238" s="4">
        <v>3.9161920547485352E-2</v>
      </c>
      <c r="F238" s="4">
        <f t="shared" si="6"/>
        <v>7.1161553931236271E-2</v>
      </c>
      <c r="G238" s="4">
        <f t="shared" si="7"/>
        <v>3.7361920547485349E-2</v>
      </c>
    </row>
    <row r="239" spans="1:7" x14ac:dyDescent="0.35">
      <c r="A239" s="1">
        <v>43769</v>
      </c>
      <c r="B239">
        <v>2.07E-2</v>
      </c>
      <c r="C239">
        <v>1.5E-3</v>
      </c>
      <c r="D239" s="3">
        <v>0.11068443953990936</v>
      </c>
      <c r="E239" s="4">
        <v>0.15482275187969208</v>
      </c>
      <c r="F239" s="4">
        <f t="shared" si="6"/>
        <v>0.10918443953990936</v>
      </c>
      <c r="G239" s="4">
        <f t="shared" si="7"/>
        <v>0.15332275187969208</v>
      </c>
    </row>
    <row r="240" spans="1:7" x14ac:dyDescent="0.35">
      <c r="A240" s="1">
        <v>43798</v>
      </c>
      <c r="B240">
        <v>3.8699999999999998E-2</v>
      </c>
      <c r="C240">
        <v>1.1999999999999999E-3</v>
      </c>
      <c r="D240" s="3">
        <v>7.7424049377441406E-2</v>
      </c>
      <c r="E240" s="4">
        <v>7.8997120261192322E-2</v>
      </c>
      <c r="F240" s="4">
        <f t="shared" si="6"/>
        <v>7.62240493774414E-2</v>
      </c>
      <c r="G240" s="4">
        <f t="shared" si="7"/>
        <v>7.7797120261192315E-2</v>
      </c>
    </row>
    <row r="241" spans="1:7" x14ac:dyDescent="0.35">
      <c r="A241" s="1">
        <v>43830</v>
      </c>
      <c r="B241">
        <v>2.7699999999999999E-2</v>
      </c>
      <c r="C241">
        <v>1.4000000000000002E-3</v>
      </c>
      <c r="D241" s="3">
        <v>9.8783887922763824E-2</v>
      </c>
      <c r="E241" s="4">
        <v>8.5632540285587311E-2</v>
      </c>
      <c r="F241" s="4">
        <f t="shared" si="6"/>
        <v>9.7383887922763826E-2</v>
      </c>
      <c r="G241" s="4">
        <f t="shared" si="7"/>
        <v>8.4232540285587312E-2</v>
      </c>
    </row>
    <row r="242" spans="1:7" x14ac:dyDescent="0.35">
      <c r="A242" s="1">
        <v>43861</v>
      </c>
      <c r="B242">
        <v>-1.1000000000000001E-3</v>
      </c>
      <c r="C242">
        <v>1.2999999999999999E-3</v>
      </c>
      <c r="D242" s="3">
        <v>5.4009929299354553E-2</v>
      </c>
      <c r="E242" s="4">
        <v>4.8023359850049019E-3</v>
      </c>
      <c r="F242" s="4">
        <f t="shared" si="6"/>
        <v>5.2709929299354551E-2</v>
      </c>
      <c r="G242" s="4">
        <f t="shared" si="7"/>
        <v>3.5023359850049019E-3</v>
      </c>
    </row>
    <row r="243" spans="1:7" x14ac:dyDescent="0.35">
      <c r="A243" s="1">
        <v>43889</v>
      </c>
      <c r="B243">
        <v>-8.1500000000000003E-2</v>
      </c>
      <c r="C243">
        <v>1.1999999999999999E-3</v>
      </c>
      <c r="D243" s="3">
        <v>-0.11430978775024414</v>
      </c>
      <c r="E243" s="4">
        <v>0.14295992255210876</v>
      </c>
      <c r="F243" s="4">
        <f t="shared" si="6"/>
        <v>-0.11550978775024415</v>
      </c>
      <c r="G243" s="4">
        <f t="shared" si="7"/>
        <v>0.14175992255210876</v>
      </c>
    </row>
    <row r="244" spans="1:7" x14ac:dyDescent="0.35">
      <c r="A244" s="1">
        <v>43921</v>
      </c>
      <c r="B244">
        <v>-0.13369999999999999</v>
      </c>
      <c r="C244">
        <v>1.1999999999999999E-3</v>
      </c>
      <c r="D244" s="3">
        <v>-6.9761462509632111E-2</v>
      </c>
      <c r="E244" s="4">
        <v>-2.3956755176186562E-2</v>
      </c>
      <c r="F244" s="4">
        <f t="shared" si="6"/>
        <v>-7.0961462509632117E-2</v>
      </c>
      <c r="G244" s="4">
        <f t="shared" si="7"/>
        <v>-2.5156755176186561E-2</v>
      </c>
    </row>
    <row r="245" spans="1:7" x14ac:dyDescent="0.35">
      <c r="A245" s="1">
        <v>43951</v>
      </c>
      <c r="B245">
        <v>0.13600000000000001</v>
      </c>
      <c r="C245">
        <v>0</v>
      </c>
      <c r="D245" s="3">
        <v>0.15537376701831818</v>
      </c>
      <c r="E245" s="4">
        <v>0.10880118608474731</v>
      </c>
      <c r="F245" s="4">
        <f t="shared" si="6"/>
        <v>0.15537376701831818</v>
      </c>
      <c r="G245" s="4">
        <f t="shared" si="7"/>
        <v>0.10880118608474731</v>
      </c>
    </row>
    <row r="246" spans="1:7" x14ac:dyDescent="0.35">
      <c r="A246" s="1">
        <v>43980</v>
      </c>
      <c r="B246">
        <v>5.57E-2</v>
      </c>
      <c r="C246">
        <v>1E-4</v>
      </c>
      <c r="D246" s="3">
        <v>8.4955804049968719E-2</v>
      </c>
      <c r="E246" s="4">
        <v>0.21465714275836945</v>
      </c>
      <c r="F246" s="4">
        <f t="shared" si="6"/>
        <v>8.4855804049968717E-2</v>
      </c>
      <c r="G246" s="4">
        <f t="shared" si="7"/>
        <v>0.21455714275836946</v>
      </c>
    </row>
    <row r="247" spans="1:7" x14ac:dyDescent="0.35">
      <c r="A247" s="1">
        <v>44012</v>
      </c>
      <c r="B247">
        <v>2.4500000000000001E-2</v>
      </c>
      <c r="C247">
        <v>1E-4</v>
      </c>
      <c r="D247" s="3">
        <v>0.14738625288009644</v>
      </c>
      <c r="E247" s="4">
        <v>7.055944949388504E-2</v>
      </c>
      <c r="F247" s="4">
        <f t="shared" si="6"/>
        <v>0.14728625288009645</v>
      </c>
      <c r="G247" s="4">
        <f t="shared" si="7"/>
        <v>7.0459449493885037E-2</v>
      </c>
    </row>
    <row r="248" spans="1:7" x14ac:dyDescent="0.35">
      <c r="A248" s="1">
        <v>44043</v>
      </c>
      <c r="B248">
        <v>5.8299999999999998E-2</v>
      </c>
      <c r="C248">
        <v>1E-4</v>
      </c>
      <c r="D248" s="3">
        <v>0.16513164341449738</v>
      </c>
      <c r="E248" s="4">
        <v>0.11760678142309189</v>
      </c>
      <c r="F248" s="4">
        <f t="shared" si="6"/>
        <v>0.16503164341449739</v>
      </c>
      <c r="G248" s="4">
        <f t="shared" si="7"/>
        <v>0.11750678142309189</v>
      </c>
    </row>
    <row r="249" spans="1:7" x14ac:dyDescent="0.35">
      <c r="A249" s="1">
        <v>44074</v>
      </c>
      <c r="B249">
        <v>7.6200000000000004E-2</v>
      </c>
      <c r="C249">
        <v>1E-4</v>
      </c>
      <c r="D249" s="3">
        <v>0.21630896627902985</v>
      </c>
      <c r="E249" s="4">
        <v>0.25999194383621216</v>
      </c>
      <c r="F249" s="4">
        <f t="shared" si="6"/>
        <v>0.21620896627902986</v>
      </c>
      <c r="G249" s="4">
        <f t="shared" si="7"/>
        <v>0.25989194383621217</v>
      </c>
    </row>
    <row r="250" spans="1:7" x14ac:dyDescent="0.35">
      <c r="A250" s="1">
        <v>44104</v>
      </c>
      <c r="B250">
        <v>-3.6400000000000002E-2</v>
      </c>
      <c r="C250">
        <v>1E-4</v>
      </c>
      <c r="D250" s="3">
        <v>-0.10252632200717926</v>
      </c>
      <c r="E250" s="4">
        <v>1.1963046155869961E-2</v>
      </c>
      <c r="F250" s="4">
        <f t="shared" si="6"/>
        <v>-0.10262632200717926</v>
      </c>
      <c r="G250" s="4">
        <f t="shared" si="7"/>
        <v>1.1863046155869961E-2</v>
      </c>
    </row>
    <row r="251" spans="1:7" x14ac:dyDescent="0.35">
      <c r="A251" s="1">
        <v>44134</v>
      </c>
      <c r="B251">
        <v>-2.0799999999999999E-2</v>
      </c>
      <c r="C251">
        <v>1E-4</v>
      </c>
      <c r="D251" s="3">
        <v>-6.0012064874172211E-2</v>
      </c>
      <c r="E251" s="4">
        <v>-7.3648400604724884E-2</v>
      </c>
      <c r="F251" s="4">
        <f t="shared" si="6"/>
        <v>-6.0112064874172214E-2</v>
      </c>
      <c r="G251" s="4">
        <f t="shared" si="7"/>
        <v>-7.3748400604724887E-2</v>
      </c>
    </row>
    <row r="252" spans="1:7" x14ac:dyDescent="0.35">
      <c r="A252" s="1">
        <v>44165</v>
      </c>
      <c r="B252">
        <v>0.1245</v>
      </c>
      <c r="C252">
        <v>1E-4</v>
      </c>
      <c r="D252" s="3">
        <v>9.5489643514156342E-2</v>
      </c>
      <c r="E252" s="4">
        <v>6.9211773574352264E-2</v>
      </c>
      <c r="F252" s="4">
        <f t="shared" si="6"/>
        <v>9.5389643514156339E-2</v>
      </c>
      <c r="G252" s="4">
        <f t="shared" si="7"/>
        <v>6.9111773574352262E-2</v>
      </c>
    </row>
    <row r="253" spans="1:7" x14ac:dyDescent="0.35">
      <c r="A253" s="1">
        <v>44196</v>
      </c>
      <c r="B253">
        <v>4.6300000000000001E-2</v>
      </c>
      <c r="C253">
        <v>1E-4</v>
      </c>
      <c r="D253" s="3">
        <v>0.11457370221614838</v>
      </c>
      <c r="E253" s="4">
        <v>-2.5556813925504684E-2</v>
      </c>
      <c r="F253" s="4">
        <f t="shared" si="6"/>
        <v>0.11447370221614837</v>
      </c>
      <c r="G253" s="4">
        <f t="shared" si="7"/>
        <v>-2.5656813925504684E-2</v>
      </c>
    </row>
    <row r="254" spans="1:7" x14ac:dyDescent="0.35">
      <c r="A254" s="1">
        <v>44225</v>
      </c>
      <c r="B254">
        <v>-7.000000000000001E-4</v>
      </c>
      <c r="C254">
        <v>0</v>
      </c>
      <c r="D254" s="3">
        <v>-5.5015124380588531E-3</v>
      </c>
      <c r="E254" s="4">
        <v>-4.9980566836893559E-3</v>
      </c>
      <c r="F254" s="4">
        <f t="shared" si="6"/>
        <v>-5.5015124380588531E-3</v>
      </c>
      <c r="G254" s="4">
        <f t="shared" si="7"/>
        <v>-4.9980566836893559E-3</v>
      </c>
    </row>
    <row r="255" spans="1:7" x14ac:dyDescent="0.35">
      <c r="A255" s="1">
        <v>44253</v>
      </c>
      <c r="B255">
        <v>2.81E-2</v>
      </c>
      <c r="C255">
        <v>0</v>
      </c>
      <c r="D255" s="3">
        <v>-7.9531706869602203E-2</v>
      </c>
      <c r="E255" s="4">
        <v>5.5793970823287964E-2</v>
      </c>
      <c r="F255" s="4">
        <f t="shared" si="6"/>
        <v>-7.9531706869602203E-2</v>
      </c>
      <c r="G255" s="4">
        <f t="shared" si="7"/>
        <v>5.5793970823287964E-2</v>
      </c>
    </row>
    <row r="256" spans="1:7" x14ac:dyDescent="0.35">
      <c r="A256" s="1">
        <v>44286</v>
      </c>
      <c r="B256">
        <v>3.1600000000000003E-2</v>
      </c>
      <c r="C256">
        <v>0</v>
      </c>
      <c r="D256" s="3">
        <v>7.3395958170294762E-3</v>
      </c>
      <c r="E256" s="4">
        <v>-2.6413694024085999E-2</v>
      </c>
      <c r="F256" s="4">
        <f t="shared" si="6"/>
        <v>7.3395958170294762E-3</v>
      </c>
      <c r="G256" s="4">
        <f t="shared" si="7"/>
        <v>-2.6413694024085999E-2</v>
      </c>
    </row>
    <row r="257" spans="1:7" x14ac:dyDescent="0.35">
      <c r="A257" s="1">
        <v>44316</v>
      </c>
      <c r="B257">
        <v>4.9500000000000002E-2</v>
      </c>
      <c r="C257">
        <v>0</v>
      </c>
      <c r="D257" s="3">
        <v>7.6217807829380035E-2</v>
      </c>
      <c r="E257" s="4">
        <v>0.12445454299449921</v>
      </c>
      <c r="F257" s="4">
        <f t="shared" si="6"/>
        <v>7.6217807829380035E-2</v>
      </c>
      <c r="G257" s="4">
        <f t="shared" si="7"/>
        <v>0.12445454299449921</v>
      </c>
    </row>
    <row r="258" spans="1:7" x14ac:dyDescent="0.35">
      <c r="A258" s="1">
        <v>44344</v>
      </c>
      <c r="B258">
        <v>3.0000000000000001E-3</v>
      </c>
      <c r="C258">
        <v>0</v>
      </c>
      <c r="D258" s="3">
        <v>-5.0433635711669922E-2</v>
      </c>
      <c r="E258" s="4">
        <v>8.2281261682510376E-2</v>
      </c>
      <c r="F258" s="4">
        <f t="shared" si="6"/>
        <v>-5.0433635711669922E-2</v>
      </c>
      <c r="G258" s="4">
        <f t="shared" si="7"/>
        <v>8.2281261682510376E-2</v>
      </c>
    </row>
    <row r="259" spans="1:7" x14ac:dyDescent="0.35">
      <c r="A259" s="1">
        <v>44377</v>
      </c>
      <c r="B259">
        <v>2.7400000000000001E-2</v>
      </c>
      <c r="C259">
        <v>0</v>
      </c>
      <c r="D259" s="3">
        <v>9.9109269678592682E-2</v>
      </c>
      <c r="E259" s="4">
        <v>0.23158597946166992</v>
      </c>
      <c r="F259" s="4">
        <f t="shared" ref="F259:F301" si="8">D259-C259</f>
        <v>9.9109269678592682E-2</v>
      </c>
      <c r="G259" s="4">
        <f t="shared" ref="G259:G303" si="9">E259-C259</f>
        <v>0.23158597946166992</v>
      </c>
    </row>
    <row r="260" spans="1:7" x14ac:dyDescent="0.35">
      <c r="A260" s="1">
        <v>44407</v>
      </c>
      <c r="B260">
        <v>1.34E-2</v>
      </c>
      <c r="C260">
        <v>0</v>
      </c>
      <c r="D260" s="3">
        <v>6.4982429146766663E-2</v>
      </c>
      <c r="E260" s="4">
        <v>-2.5171795859932899E-2</v>
      </c>
      <c r="F260" s="4">
        <f t="shared" si="8"/>
        <v>6.4982429146766663E-2</v>
      </c>
      <c r="G260" s="4">
        <f t="shared" si="9"/>
        <v>-2.5171795859932899E-2</v>
      </c>
    </row>
    <row r="261" spans="1:7" x14ac:dyDescent="0.35">
      <c r="A261" s="1">
        <v>44439</v>
      </c>
      <c r="B261">
        <v>2.9399999999999999E-2</v>
      </c>
      <c r="C261">
        <v>0</v>
      </c>
      <c r="D261" s="3">
        <v>4.243796318769455E-2</v>
      </c>
      <c r="E261" s="4">
        <v>0.148212730884552</v>
      </c>
      <c r="F261" s="4">
        <f t="shared" si="8"/>
        <v>4.243796318769455E-2</v>
      </c>
      <c r="G261" s="4">
        <f t="shared" si="9"/>
        <v>0.148212730884552</v>
      </c>
    </row>
    <row r="262" spans="1:7" x14ac:dyDescent="0.35">
      <c r="A262" s="1">
        <v>44469</v>
      </c>
      <c r="B262">
        <v>-4.4000000000000004E-2</v>
      </c>
      <c r="C262">
        <v>0</v>
      </c>
      <c r="D262" s="3">
        <v>-6.8036630749702454E-2</v>
      </c>
      <c r="E262" s="4">
        <v>-7.4558861553668976E-2</v>
      </c>
      <c r="F262" s="4">
        <f t="shared" si="8"/>
        <v>-6.8036630749702454E-2</v>
      </c>
      <c r="G262" s="4">
        <f t="shared" si="9"/>
        <v>-7.4558861553668976E-2</v>
      </c>
    </row>
    <row r="263" spans="1:7" x14ac:dyDescent="0.35">
      <c r="A263" s="1">
        <v>44498</v>
      </c>
      <c r="B263">
        <v>6.6299999999999998E-2</v>
      </c>
      <c r="C263">
        <v>0</v>
      </c>
      <c r="D263" s="3">
        <v>5.8657266199588776E-2</v>
      </c>
      <c r="E263" s="4">
        <v>0.23416680097579956</v>
      </c>
      <c r="F263" s="4">
        <f t="shared" si="8"/>
        <v>5.8657266199588776E-2</v>
      </c>
      <c r="G263" s="4">
        <f t="shared" si="9"/>
        <v>0.23416680097579956</v>
      </c>
    </row>
    <row r="264" spans="1:7" x14ac:dyDescent="0.35">
      <c r="A264" s="1">
        <v>44530</v>
      </c>
      <c r="B264">
        <v>-1.5800000000000002E-2</v>
      </c>
      <c r="C264">
        <v>0</v>
      </c>
      <c r="D264" s="3">
        <v>0.10493991523981094</v>
      </c>
      <c r="E264" s="4">
        <v>0.27805379033088684</v>
      </c>
      <c r="F264" s="4">
        <f t="shared" si="8"/>
        <v>0.10493991523981094</v>
      </c>
      <c r="G264" s="4">
        <f t="shared" si="9"/>
        <v>0.27805379033088684</v>
      </c>
    </row>
    <row r="265" spans="1:7" x14ac:dyDescent="0.35">
      <c r="A265" s="1">
        <v>44561</v>
      </c>
      <c r="B265">
        <v>3.2300000000000002E-2</v>
      </c>
      <c r="C265">
        <v>1E-4</v>
      </c>
      <c r="D265" s="3">
        <v>7.4228696525096893E-2</v>
      </c>
      <c r="E265" s="4">
        <v>-9.9798090755939484E-2</v>
      </c>
      <c r="F265" s="4">
        <f t="shared" si="8"/>
        <v>7.412869652509689E-2</v>
      </c>
      <c r="G265" s="4">
        <f t="shared" si="9"/>
        <v>-9.9898090755939487E-2</v>
      </c>
    </row>
    <row r="266" spans="1:7" x14ac:dyDescent="0.35">
      <c r="A266" s="1">
        <v>44592</v>
      </c>
      <c r="B266">
        <v>-6.1600000000000002E-2</v>
      </c>
      <c r="C266">
        <v>0</v>
      </c>
      <c r="D266" s="3">
        <v>-1.5712160617113113E-2</v>
      </c>
      <c r="E266" s="4">
        <v>-0.1674543172121048</v>
      </c>
      <c r="F266" s="4">
        <f t="shared" si="8"/>
        <v>-1.5712160617113113E-2</v>
      </c>
      <c r="G266" s="4">
        <f t="shared" si="9"/>
        <v>-0.1674543172121048</v>
      </c>
    </row>
    <row r="267" spans="1:7" x14ac:dyDescent="0.35">
      <c r="A267" s="1">
        <v>44620</v>
      </c>
      <c r="B267">
        <v>-2.2799999999999997E-2</v>
      </c>
      <c r="C267">
        <v>0</v>
      </c>
      <c r="D267" s="3">
        <v>-5.4010778665542603E-2</v>
      </c>
      <c r="E267" s="4">
        <v>-4.1247834451496601E-3</v>
      </c>
      <c r="F267" s="4">
        <f t="shared" si="8"/>
        <v>-5.4010778665542603E-2</v>
      </c>
      <c r="G267" s="4">
        <f t="shared" si="9"/>
        <v>-4.1247834451496601E-3</v>
      </c>
    </row>
    <row r="268" spans="1:7" x14ac:dyDescent="0.35">
      <c r="A268" s="1">
        <v>44651</v>
      </c>
      <c r="B268">
        <v>3.0800000000000001E-2</v>
      </c>
      <c r="C268">
        <v>0</v>
      </c>
      <c r="D268" s="3">
        <v>5.7473387569189072E-2</v>
      </c>
      <c r="E268" s="4">
        <v>0.11913052201271057</v>
      </c>
      <c r="F268" s="4">
        <f t="shared" si="8"/>
        <v>5.7473387569189072E-2</v>
      </c>
      <c r="G268" s="4">
        <f t="shared" si="9"/>
        <v>0.11913052201271057</v>
      </c>
    </row>
    <row r="269" spans="1:7" x14ac:dyDescent="0.35">
      <c r="A269" s="1">
        <v>44680</v>
      </c>
      <c r="B269">
        <v>-9.4100000000000003E-2</v>
      </c>
      <c r="C269">
        <v>0</v>
      </c>
      <c r="D269" s="3">
        <v>-9.713079035282135E-2</v>
      </c>
      <c r="E269" s="4">
        <v>-0.32027408480644226</v>
      </c>
      <c r="F269" s="4">
        <f t="shared" si="8"/>
        <v>-9.713079035282135E-2</v>
      </c>
      <c r="G269" s="4">
        <f t="shared" si="9"/>
        <v>-0.32027408480644226</v>
      </c>
    </row>
    <row r="270" spans="1:7" x14ac:dyDescent="0.35">
      <c r="A270" s="1">
        <v>44712</v>
      </c>
      <c r="B270">
        <v>-3.4000000000000002E-3</v>
      </c>
      <c r="C270">
        <v>2.9999999999999997E-4</v>
      </c>
      <c r="D270" s="3">
        <v>-5.442434549331665E-2</v>
      </c>
      <c r="E270" s="4">
        <v>6.7396345548331738E-3</v>
      </c>
      <c r="F270" s="4">
        <f t="shared" si="8"/>
        <v>-5.4724345493316652E-2</v>
      </c>
      <c r="G270" s="4">
        <f t="shared" si="9"/>
        <v>6.4396345548331738E-3</v>
      </c>
    </row>
    <row r="271" spans="1:7" x14ac:dyDescent="0.35">
      <c r="A271" s="1">
        <v>44742</v>
      </c>
      <c r="B271">
        <v>-8.4000000000000005E-2</v>
      </c>
      <c r="C271">
        <v>5.9999999999999995E-4</v>
      </c>
      <c r="D271" s="3">
        <v>-8.142969012260437E-2</v>
      </c>
      <c r="E271" s="4">
        <v>-0.1879284679889679</v>
      </c>
      <c r="F271" s="4">
        <f t="shared" si="8"/>
        <v>-8.2029690122604373E-2</v>
      </c>
      <c r="G271" s="4">
        <f t="shared" si="9"/>
        <v>-0.18852846798896788</v>
      </c>
    </row>
    <row r="272" spans="1:7" x14ac:dyDescent="0.35">
      <c r="A272" s="1">
        <v>44771</v>
      </c>
      <c r="B272">
        <v>9.5700000000000007E-2</v>
      </c>
      <c r="C272">
        <v>8.0000000000000004E-4</v>
      </c>
      <c r="D272" s="3">
        <v>0.18863365054130554</v>
      </c>
      <c r="E272" s="4">
        <v>0.19816616177558899</v>
      </c>
      <c r="F272" s="4">
        <f t="shared" si="8"/>
        <v>0.18783365054130555</v>
      </c>
      <c r="G272" s="4">
        <f t="shared" si="9"/>
        <v>0.19736616177558899</v>
      </c>
    </row>
    <row r="273" spans="1:7" x14ac:dyDescent="0.35">
      <c r="A273" s="1">
        <v>44804</v>
      </c>
      <c r="B273">
        <v>-3.7699999999999997E-2</v>
      </c>
      <c r="C273">
        <v>1.9E-3</v>
      </c>
      <c r="D273" s="3">
        <v>-3.1136505305767059E-2</v>
      </c>
      <c r="E273" s="4">
        <v>-0.16896989941596985</v>
      </c>
      <c r="F273" s="4">
        <f t="shared" si="8"/>
        <v>-3.3036505305767058E-2</v>
      </c>
      <c r="G273" s="4">
        <f t="shared" si="9"/>
        <v>-0.17086989941596986</v>
      </c>
    </row>
    <row r="274" spans="1:7" x14ac:dyDescent="0.35">
      <c r="A274" s="1">
        <v>44834</v>
      </c>
      <c r="B274">
        <v>-9.3399999999999997E-2</v>
      </c>
      <c r="C274">
        <v>1.9E-3</v>
      </c>
      <c r="D274" s="3">
        <v>-0.1209769994020462</v>
      </c>
      <c r="E274" s="4">
        <v>-0.19550816714763641</v>
      </c>
      <c r="F274" s="4">
        <f t="shared" si="8"/>
        <v>-0.1228769994020462</v>
      </c>
      <c r="G274" s="4">
        <f t="shared" si="9"/>
        <v>-0.19740816714763643</v>
      </c>
    </row>
    <row r="275" spans="1:7" x14ac:dyDescent="0.35">
      <c r="A275" s="1">
        <v>44865</v>
      </c>
      <c r="B275">
        <v>7.85E-2</v>
      </c>
      <c r="C275">
        <v>2.3E-3</v>
      </c>
      <c r="D275" s="3">
        <v>0.10955137014389038</v>
      </c>
      <c r="E275" s="4">
        <v>0.11187084764242172</v>
      </c>
      <c r="F275" s="4">
        <f t="shared" si="8"/>
        <v>0.10725137014389038</v>
      </c>
      <c r="G275" s="4">
        <f t="shared" si="9"/>
        <v>0.10957084764242173</v>
      </c>
    </row>
    <row r="276" spans="1:7" x14ac:dyDescent="0.35">
      <c r="A276" s="1">
        <v>44895</v>
      </c>
      <c r="B276">
        <v>4.6500000000000007E-2</v>
      </c>
      <c r="C276">
        <v>2.8999999999999998E-3</v>
      </c>
      <c r="D276" s="3">
        <v>-3.3128980547189713E-2</v>
      </c>
      <c r="E276" s="4">
        <v>0.25413051247596741</v>
      </c>
      <c r="F276" s="4">
        <f t="shared" si="8"/>
        <v>-3.6028980547189712E-2</v>
      </c>
      <c r="G276" s="4">
        <f t="shared" si="9"/>
        <v>0.25123051247596739</v>
      </c>
    </row>
    <row r="277" spans="1:7" x14ac:dyDescent="0.35">
      <c r="A277" s="1">
        <v>44925</v>
      </c>
      <c r="B277">
        <v>-6.3799999999999996E-2</v>
      </c>
      <c r="C277">
        <v>3.3E-3</v>
      </c>
      <c r="D277" s="3">
        <v>-0.1222725510597229</v>
      </c>
      <c r="E277" s="4">
        <v>-0.13644151389598846</v>
      </c>
      <c r="F277" s="4">
        <f t="shared" si="8"/>
        <v>-0.1255725510597229</v>
      </c>
      <c r="G277" s="4">
        <f t="shared" si="9"/>
        <v>-0.13974151389598846</v>
      </c>
    </row>
    <row r="278" spans="1:7" x14ac:dyDescent="0.35">
      <c r="A278" s="1">
        <v>44957</v>
      </c>
      <c r="B278">
        <v>6.6100000000000006E-2</v>
      </c>
      <c r="C278">
        <v>3.4999999999999996E-3</v>
      </c>
      <c r="D278" s="3">
        <v>0.11052106320858002</v>
      </c>
      <c r="E278" s="4">
        <v>0.33686873316764832</v>
      </c>
      <c r="F278" s="4">
        <f t="shared" si="8"/>
        <v>0.10702106320858001</v>
      </c>
      <c r="G278" s="4">
        <f t="shared" si="9"/>
        <v>0.33336873316764831</v>
      </c>
    </row>
    <row r="279" spans="1:7" x14ac:dyDescent="0.35">
      <c r="A279" s="1">
        <v>44985</v>
      </c>
      <c r="B279">
        <v>-2.5699999999999997E-2</v>
      </c>
      <c r="C279">
        <v>3.4000000000000002E-3</v>
      </c>
      <c r="D279" s="3">
        <v>2.3217204958200455E-2</v>
      </c>
      <c r="E279" s="4">
        <v>0.18830941617488861</v>
      </c>
      <c r="F279" s="4">
        <f t="shared" si="8"/>
        <v>1.9817204958200454E-2</v>
      </c>
      <c r="G279" s="4">
        <f t="shared" si="9"/>
        <v>0.1849094161748886</v>
      </c>
    </row>
    <row r="280" spans="1:7" x14ac:dyDescent="0.35">
      <c r="A280" s="1">
        <v>45016</v>
      </c>
      <c r="B280">
        <v>2.4799999999999999E-2</v>
      </c>
      <c r="C280">
        <v>3.5999999999999999E-3</v>
      </c>
      <c r="D280" s="3">
        <v>0.11864859610795975</v>
      </c>
      <c r="E280" s="4">
        <v>0.19663156569004059</v>
      </c>
      <c r="F280" s="4">
        <f t="shared" si="8"/>
        <v>0.11504859610795974</v>
      </c>
      <c r="G280" s="4">
        <f t="shared" si="9"/>
        <v>0.1930315656900406</v>
      </c>
    </row>
    <row r="281" spans="1:7" x14ac:dyDescent="0.35">
      <c r="A281" s="1">
        <v>45044</v>
      </c>
      <c r="B281">
        <v>6.1999999999999998E-3</v>
      </c>
      <c r="C281">
        <v>3.4999999999999996E-3</v>
      </c>
      <c r="D281" s="3">
        <v>2.8987258672714233E-2</v>
      </c>
      <c r="E281" s="4">
        <v>-1.008023857139051E-3</v>
      </c>
      <c r="F281" s="4">
        <f t="shared" si="8"/>
        <v>2.5487258672714234E-2</v>
      </c>
      <c r="G281" s="4">
        <f t="shared" si="9"/>
        <v>-4.5080238571390506E-3</v>
      </c>
    </row>
    <row r="282" spans="1:7" x14ac:dyDescent="0.35">
      <c r="A282" s="1">
        <v>45077</v>
      </c>
      <c r="B282">
        <v>3.4000000000000002E-3</v>
      </c>
      <c r="C282">
        <v>3.5999999999999999E-3</v>
      </c>
      <c r="D282" s="3">
        <v>4.6027861535549164E-2</v>
      </c>
      <c r="E282" s="4">
        <v>0.36343654990196228</v>
      </c>
      <c r="F282" s="4">
        <f t="shared" si="8"/>
        <v>4.2427861535549165E-2</v>
      </c>
      <c r="G282" s="4">
        <f t="shared" si="9"/>
        <v>0.35983654990196229</v>
      </c>
    </row>
    <row r="283" spans="1:7" x14ac:dyDescent="0.35">
      <c r="A283" s="1">
        <v>45107</v>
      </c>
      <c r="B283">
        <v>6.4600000000000005E-2</v>
      </c>
      <c r="C283">
        <v>4.0000000000000001E-3</v>
      </c>
      <c r="D283" s="3">
        <v>9.4330050051212311E-2</v>
      </c>
      <c r="E283" s="4">
        <v>0.11820054054260254</v>
      </c>
      <c r="F283" s="4">
        <f t="shared" si="8"/>
        <v>9.0330050051212307E-2</v>
      </c>
      <c r="G283" s="4">
        <f t="shared" si="9"/>
        <v>0.11420054054260254</v>
      </c>
    </row>
    <row r="284" spans="1:7" x14ac:dyDescent="0.35">
      <c r="A284" s="1">
        <v>45138</v>
      </c>
      <c r="B284">
        <v>3.2099999999999997E-2</v>
      </c>
      <c r="C284">
        <v>4.5000000000000005E-3</v>
      </c>
      <c r="D284" s="3">
        <v>1.2785459868609905E-2</v>
      </c>
      <c r="E284" s="4">
        <v>0.10465230792760849</v>
      </c>
      <c r="F284" s="4">
        <f t="shared" si="8"/>
        <v>8.2854598686099047E-3</v>
      </c>
      <c r="G284" s="4">
        <f t="shared" si="9"/>
        <v>0.10015230792760849</v>
      </c>
    </row>
    <row r="285" spans="1:7" x14ac:dyDescent="0.35">
      <c r="A285" s="1">
        <v>45169</v>
      </c>
      <c r="B285">
        <v>-2.3599999999999999E-2</v>
      </c>
      <c r="C285">
        <v>4.5000000000000005E-3</v>
      </c>
      <c r="D285" s="3">
        <v>-4.245356097817421E-2</v>
      </c>
      <c r="E285" s="4">
        <v>5.6196320801973343E-2</v>
      </c>
      <c r="F285" s="4">
        <f t="shared" si="8"/>
        <v>-4.6953560978174214E-2</v>
      </c>
      <c r="G285" s="4">
        <f t="shared" si="9"/>
        <v>5.1696320801973339E-2</v>
      </c>
    </row>
    <row r="286" spans="1:7" x14ac:dyDescent="0.35">
      <c r="A286" s="1">
        <v>45198</v>
      </c>
      <c r="B286">
        <v>-5.2300000000000006E-2</v>
      </c>
      <c r="C286">
        <v>4.3E-3</v>
      </c>
      <c r="D286" s="3">
        <v>-8.8678285479545593E-2</v>
      </c>
      <c r="E286" s="4">
        <v>-0.11856954544782639</v>
      </c>
      <c r="F286" s="4">
        <f t="shared" si="8"/>
        <v>-9.2978285479545592E-2</v>
      </c>
      <c r="G286" s="4">
        <f t="shared" si="9"/>
        <v>-0.12286954544782638</v>
      </c>
    </row>
    <row r="287" spans="1:7" x14ac:dyDescent="0.35">
      <c r="A287" s="1">
        <v>45230</v>
      </c>
      <c r="B287">
        <v>-3.15E-2</v>
      </c>
      <c r="C287">
        <v>4.6999999999999993E-3</v>
      </c>
      <c r="D287" s="3">
        <v>-2.5699574034661055E-3</v>
      </c>
      <c r="E287" s="4">
        <v>-6.2507189810276031E-2</v>
      </c>
      <c r="F287" s="4">
        <f t="shared" si="8"/>
        <v>-7.2699574034661048E-3</v>
      </c>
      <c r="G287" s="4">
        <f t="shared" si="9"/>
        <v>-6.7207189810276027E-2</v>
      </c>
    </row>
    <row r="288" spans="1:7" x14ac:dyDescent="0.35">
      <c r="A288" s="1">
        <v>45260</v>
      </c>
      <c r="B288">
        <v>8.8800000000000004E-2</v>
      </c>
      <c r="C288">
        <v>4.4000000000000003E-3</v>
      </c>
      <c r="D288" s="3">
        <v>0.11372016370296478</v>
      </c>
      <c r="E288" s="4">
        <v>0.14688579738140106</v>
      </c>
      <c r="F288" s="4">
        <f t="shared" si="8"/>
        <v>0.10932016370296478</v>
      </c>
      <c r="G288" s="4">
        <f t="shared" si="9"/>
        <v>0.14248579738140107</v>
      </c>
    </row>
    <row r="289" spans="1:7" x14ac:dyDescent="0.35">
      <c r="A289" s="1">
        <v>45289</v>
      </c>
      <c r="B289">
        <v>4.8499999999999995E-2</v>
      </c>
      <c r="C289">
        <v>4.3E-3</v>
      </c>
      <c r="D289" s="3">
        <v>1.3582531362771988E-2</v>
      </c>
      <c r="E289" s="4">
        <v>5.8926638215780258E-2</v>
      </c>
      <c r="F289" s="4">
        <f t="shared" si="8"/>
        <v>9.2825313627719879E-3</v>
      </c>
      <c r="G289" s="4">
        <f t="shared" si="9"/>
        <v>5.462663821578026E-2</v>
      </c>
    </row>
    <row r="290" spans="1:7" x14ac:dyDescent="0.35">
      <c r="A290" s="1">
        <v>45322</v>
      </c>
      <c r="B290">
        <v>7.3000000000000001E-3</v>
      </c>
      <c r="C290">
        <v>4.6999999999999993E-3</v>
      </c>
      <c r="D290" s="3">
        <v>-4.2227212339639664E-2</v>
      </c>
      <c r="E290" s="4">
        <v>0.24241754412651062</v>
      </c>
      <c r="F290" s="4">
        <f t="shared" si="8"/>
        <v>-4.692721233963966E-2</v>
      </c>
      <c r="G290" s="4">
        <f t="shared" si="9"/>
        <v>0.23771754412651061</v>
      </c>
    </row>
    <row r="291" spans="1:7" x14ac:dyDescent="0.35">
      <c r="A291" s="1">
        <v>45351</v>
      </c>
      <c r="B291">
        <v>5.0700000000000002E-2</v>
      </c>
      <c r="C291">
        <v>4.1999999999999997E-3</v>
      </c>
      <c r="D291" s="3">
        <v>-1.8492374569177628E-2</v>
      </c>
      <c r="E291" s="4">
        <v>0.28580942749977112</v>
      </c>
      <c r="F291" s="4">
        <f t="shared" si="8"/>
        <v>-2.2692374569177626E-2</v>
      </c>
      <c r="G291" s="4">
        <f t="shared" si="9"/>
        <v>0.28160942749977114</v>
      </c>
    </row>
    <row r="292" spans="1:7" x14ac:dyDescent="0.35">
      <c r="A292" s="1">
        <v>45379</v>
      </c>
      <c r="B292">
        <v>2.8399999999999998E-2</v>
      </c>
      <c r="C292">
        <v>4.3E-3</v>
      </c>
      <c r="D292" s="3">
        <v>-5.1286332309246063E-2</v>
      </c>
      <c r="E292" s="4">
        <v>0.14217817783355713</v>
      </c>
      <c r="F292" s="4">
        <f t="shared" si="8"/>
        <v>-5.5586332309246062E-2</v>
      </c>
      <c r="G292" s="4">
        <f t="shared" si="9"/>
        <v>0.13787817783355713</v>
      </c>
    </row>
    <row r="293" spans="1:7" x14ac:dyDescent="0.35">
      <c r="A293" s="1">
        <v>45412</v>
      </c>
      <c r="B293">
        <v>-4.6500000000000007E-2</v>
      </c>
      <c r="C293">
        <v>4.6999999999999993E-3</v>
      </c>
      <c r="D293" s="3">
        <v>-6.70628622174263E-3</v>
      </c>
      <c r="E293" s="4">
        <v>-4.3760214000940323E-2</v>
      </c>
      <c r="F293" s="4">
        <f t="shared" si="8"/>
        <v>-1.1406286221742629E-2</v>
      </c>
      <c r="G293" s="4">
        <f t="shared" si="9"/>
        <v>-4.8460214000940319E-2</v>
      </c>
    </row>
    <row r="294" spans="1:7" x14ac:dyDescent="0.35">
      <c r="A294" s="1">
        <v>45443</v>
      </c>
      <c r="B294">
        <v>4.3299999999999998E-2</v>
      </c>
      <c r="C294">
        <v>4.4000000000000003E-3</v>
      </c>
      <c r="D294" s="3">
        <v>0.13015909492969513</v>
      </c>
      <c r="E294" s="4">
        <v>0.268871009349823</v>
      </c>
      <c r="F294" s="4">
        <f t="shared" si="8"/>
        <v>0.12575909492969514</v>
      </c>
      <c r="G294" s="4">
        <f t="shared" si="9"/>
        <v>0.26447100934982298</v>
      </c>
    </row>
    <row r="295" spans="1:7" x14ac:dyDescent="0.35">
      <c r="A295" s="1">
        <v>45471</v>
      </c>
      <c r="B295">
        <v>2.7999999999999997E-2</v>
      </c>
      <c r="C295">
        <v>4.0999999999999995E-3</v>
      </c>
      <c r="D295" s="3">
        <v>9.5552638173103333E-2</v>
      </c>
      <c r="E295" s="4">
        <v>0.12694175541400909</v>
      </c>
      <c r="F295" s="4">
        <f t="shared" si="8"/>
        <v>9.145263817310334E-2</v>
      </c>
      <c r="G295" s="4">
        <f t="shared" si="9"/>
        <v>0.1228417554140091</v>
      </c>
    </row>
    <row r="296" spans="1:7" x14ac:dyDescent="0.35">
      <c r="A296" s="1">
        <v>45504</v>
      </c>
      <c r="B296">
        <v>1.2199999999999999E-2</v>
      </c>
      <c r="C296">
        <v>4.5000000000000005E-3</v>
      </c>
      <c r="D296" s="3">
        <v>5.4410818964242935E-2</v>
      </c>
      <c r="E296" s="4">
        <v>-5.2776463329792023E-2</v>
      </c>
      <c r="F296" s="4">
        <f t="shared" si="8"/>
        <v>4.9910818964242931E-2</v>
      </c>
      <c r="G296" s="4">
        <f t="shared" si="9"/>
        <v>-5.7276463329792027E-2</v>
      </c>
    </row>
    <row r="297" spans="1:7" x14ac:dyDescent="0.35">
      <c r="A297" s="1">
        <v>45534</v>
      </c>
      <c r="B297">
        <v>1.6E-2</v>
      </c>
      <c r="C297">
        <v>4.7999999999999996E-3</v>
      </c>
      <c r="D297" s="3">
        <v>3.2285653054714203E-2</v>
      </c>
      <c r="E297" s="4">
        <v>2.0082090049982071E-2</v>
      </c>
      <c r="F297" s="4">
        <f t="shared" si="8"/>
        <v>2.7485653054714204E-2</v>
      </c>
      <c r="G297" s="4">
        <f t="shared" si="9"/>
        <v>1.5282090049982072E-2</v>
      </c>
    </row>
    <row r="298" spans="1:7" x14ac:dyDescent="0.35">
      <c r="A298" s="1">
        <v>45565</v>
      </c>
      <c r="B298">
        <v>1.72E-2</v>
      </c>
      <c r="C298">
        <v>4.0000000000000001E-3</v>
      </c>
      <c r="D298" s="3">
        <v>1.7467249184846878E-2</v>
      </c>
      <c r="E298" s="4">
        <v>1.74248106777668E-2</v>
      </c>
      <c r="F298" s="4">
        <f t="shared" si="8"/>
        <v>1.3467249184846878E-2</v>
      </c>
      <c r="G298" s="4">
        <f t="shared" si="9"/>
        <v>1.34248106777668E-2</v>
      </c>
    </row>
    <row r="299" spans="1:7" x14ac:dyDescent="0.35">
      <c r="A299" s="1">
        <v>45596</v>
      </c>
      <c r="B299">
        <v>-0.01</v>
      </c>
      <c r="C299">
        <v>3.9000000000000003E-3</v>
      </c>
      <c r="D299" s="3">
        <v>-3.0429169535636902E-2</v>
      </c>
      <c r="E299" s="4">
        <v>9.3214690685272217E-2</v>
      </c>
      <c r="F299" s="4">
        <f t="shared" si="8"/>
        <v>-3.4329169535636903E-2</v>
      </c>
      <c r="G299" s="4">
        <f t="shared" si="9"/>
        <v>8.9314690685272216E-2</v>
      </c>
    </row>
    <row r="300" spans="1:7" x14ac:dyDescent="0.35">
      <c r="A300" s="1">
        <v>45625</v>
      </c>
      <c r="B300">
        <v>6.4899999999999999E-2</v>
      </c>
      <c r="C300">
        <v>4.0000000000000001E-3</v>
      </c>
      <c r="D300" s="3">
        <v>5.1657732576131821E-2</v>
      </c>
      <c r="E300" s="4">
        <v>4.1352860629558563E-2</v>
      </c>
      <c r="F300" s="4">
        <f t="shared" si="8"/>
        <v>4.7657732576131817E-2</v>
      </c>
      <c r="G300" s="4">
        <f t="shared" si="9"/>
        <v>3.735286062955856E-2</v>
      </c>
    </row>
    <row r="301" spans="1:7" x14ac:dyDescent="0.35">
      <c r="A301" s="1">
        <v>45657</v>
      </c>
      <c r="B301">
        <v>-3.1699999999999999E-2</v>
      </c>
      <c r="C301">
        <v>3.7000000000000002E-3</v>
      </c>
      <c r="D301" s="3">
        <v>5.5155254900455475E-2</v>
      </c>
      <c r="E301" s="4">
        <v>-2.857147715985775E-2</v>
      </c>
      <c r="F301" s="4">
        <f t="shared" si="8"/>
        <v>5.1455254900455473E-2</v>
      </c>
      <c r="G301" s="4">
        <f t="shared" si="9"/>
        <v>-3.2271477159857752E-2</v>
      </c>
    </row>
    <row r="302" spans="1:7" x14ac:dyDescent="0.35">
      <c r="G302" s="4"/>
    </row>
    <row r="303" spans="1:7" x14ac:dyDescent="0.35">
      <c r="G303" s="4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AD87-978E-47AB-A8C6-192F9B787521}">
  <dimension ref="K3:M11"/>
  <sheetViews>
    <sheetView workbookViewId="0">
      <selection activeCell="M19" sqref="M19"/>
    </sheetView>
  </sheetViews>
  <sheetFormatPr defaultRowHeight="14.5" x14ac:dyDescent="0.35"/>
  <sheetData>
    <row r="3" spans="11:13" x14ac:dyDescent="0.35">
      <c r="L3">
        <f>SLOPE(data!F2:F301,data!B2:B301)</f>
        <v>1.335455352626846</v>
      </c>
    </row>
    <row r="5" spans="11:13" x14ac:dyDescent="0.35">
      <c r="K5" t="s">
        <v>7</v>
      </c>
      <c r="L5" cm="1">
        <f t="array" ref="L5:M9">LINEST(data!F2:F301,data!B2:B301,TRUE,TRUE)</f>
        <v>1.3354553526268409</v>
      </c>
      <c r="M5">
        <v>1.6501231306284038E-2</v>
      </c>
    </row>
    <row r="6" spans="11:13" x14ac:dyDescent="0.35">
      <c r="K6" t="s">
        <v>8</v>
      </c>
      <c r="L6">
        <v>0.1164255605513168</v>
      </c>
      <c r="M6">
        <v>5.3668981405269817E-3</v>
      </c>
    </row>
    <row r="7" spans="11:13" x14ac:dyDescent="0.35">
      <c r="L7" s="2">
        <v>0.3062855694854108</v>
      </c>
      <c r="M7" s="2">
        <v>9.2180586400525219E-2</v>
      </c>
    </row>
    <row r="8" spans="11:13" x14ac:dyDescent="0.35">
      <c r="L8" s="2">
        <v>131.57157425563011</v>
      </c>
      <c r="M8" s="2">
        <v>298</v>
      </c>
    </row>
    <row r="9" spans="11:13" x14ac:dyDescent="0.35">
      <c r="L9" s="2">
        <v>1.1179979420483646</v>
      </c>
      <c r="M9" s="2">
        <v>2.5321836317251192</v>
      </c>
    </row>
    <row r="10" spans="11:13" x14ac:dyDescent="0.35">
      <c r="K10" t="s">
        <v>9</v>
      </c>
      <c r="M10">
        <f>M5-1.96*M6</f>
        <v>5.9821109508511536E-3</v>
      </c>
    </row>
    <row r="11" spans="11:13" x14ac:dyDescent="0.35">
      <c r="K11" t="s">
        <v>10</v>
      </c>
      <c r="M11">
        <f>M5+1.96*M6</f>
        <v>2.7020351661716922E-2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D4E6-EF3C-4D38-9F27-5D7112A10443}">
  <dimension ref="K3:M11"/>
  <sheetViews>
    <sheetView tabSelected="1" workbookViewId="0">
      <selection activeCell="O13" sqref="O13"/>
    </sheetView>
  </sheetViews>
  <sheetFormatPr defaultRowHeight="14.5" x14ac:dyDescent="0.35"/>
  <cols>
    <col min="1" max="16384" width="8.7265625" style="4"/>
  </cols>
  <sheetData>
    <row r="3" spans="11:13" x14ac:dyDescent="0.35">
      <c r="L3" s="4">
        <f>SLOPE(data!G2:G301,data!B2:B301)</f>
        <v>2.0199206900553914</v>
      </c>
    </row>
    <row r="5" spans="11:13" x14ac:dyDescent="0.35">
      <c r="K5" s="4" t="s">
        <v>7</v>
      </c>
      <c r="L5" s="4" cm="1">
        <f t="array" ref="L5:M9">LINEST(data!G2:G301,data!B2:B301,TRUE,TRUE)</f>
        <v>2.0199206900553861</v>
      </c>
      <c r="M5" s="4">
        <v>2.5376904895211744E-2</v>
      </c>
    </row>
    <row r="6" spans="11:13" x14ac:dyDescent="0.35">
      <c r="K6" s="4" t="s">
        <v>8</v>
      </c>
      <c r="L6" s="4">
        <v>0.18468895471064475</v>
      </c>
      <c r="M6" s="4">
        <v>8.5136528689981079E-3</v>
      </c>
    </row>
    <row r="7" spans="11:13" x14ac:dyDescent="0.35">
      <c r="L7" s="2">
        <v>0.2864246372023041</v>
      </c>
      <c r="M7" s="2">
        <v>0.14622850915476845</v>
      </c>
    </row>
    <row r="8" spans="11:13" x14ac:dyDescent="0.35">
      <c r="L8" s="2">
        <v>119.61531512472536</v>
      </c>
      <c r="M8" s="2">
        <v>298</v>
      </c>
    </row>
    <row r="9" spans="11:13" x14ac:dyDescent="0.35">
      <c r="L9" s="2">
        <v>2.5577075958943327</v>
      </c>
      <c r="M9" s="2">
        <v>6.3720675131086084</v>
      </c>
    </row>
    <row r="10" spans="11:13" x14ac:dyDescent="0.35">
      <c r="K10" s="4" t="s">
        <v>9</v>
      </c>
      <c r="M10" s="4">
        <f>M5-1.96*M6</f>
        <v>8.6901452719754524E-3</v>
      </c>
    </row>
    <row r="11" spans="11:13" x14ac:dyDescent="0.35">
      <c r="K11" s="4" t="s">
        <v>10</v>
      </c>
      <c r="M11" s="4">
        <f>M5+1.96*M6</f>
        <v>4.2063664518448035E-2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apple</vt:lpstr>
      <vt:lpstr>nvidia</vt:lpstr>
      <vt:lpstr>aykyduchm0ud42hh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Martin Gunter Kornejew</cp:lastModifiedBy>
  <dcterms:created xsi:type="dcterms:W3CDTF">2026-03-12T16:07:51Z</dcterms:created>
  <dcterms:modified xsi:type="dcterms:W3CDTF">2026-03-13T08:54:16Z</dcterms:modified>
</cp:coreProperties>
</file>