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lide\"/>
    </mc:Choice>
  </mc:AlternateContent>
  <xr:revisionPtr revIDLastSave="0" documentId="13_ncr:1_{E780DD7B-C149-4017-9C66-8CD7EBD3874C}" xr6:coauthVersionLast="47" xr6:coauthVersionMax="47" xr10:uidLastSave="{00000000-0000-0000-0000-000000000000}"/>
  <bookViews>
    <workbookView xWindow="-120" yWindow="-120" windowWidth="29040" windowHeight="15720" activeTab="1" xr2:uid="{CAB5E5B5-D803-45A2-9859-297AA83A12DA}"/>
  </bookViews>
  <sheets>
    <sheet name="Foglio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4" i="3" l="1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53" i="3"/>
  <c r="F155" i="3"/>
  <c r="G155" i="3" s="1"/>
  <c r="F156" i="3"/>
  <c r="G156" i="3" s="1"/>
  <c r="F157" i="3"/>
  <c r="G157" i="3"/>
  <c r="F158" i="3"/>
  <c r="G158" i="3"/>
  <c r="F159" i="3"/>
  <c r="G159" i="3" s="1"/>
  <c r="F160" i="3"/>
  <c r="G160" i="3" s="1"/>
  <c r="F161" i="3"/>
  <c r="G161" i="3"/>
  <c r="F162" i="3"/>
  <c r="G162" i="3" s="1"/>
  <c r="F163" i="3"/>
  <c r="G163" i="3"/>
  <c r="F164" i="3"/>
  <c r="G164" i="3" s="1"/>
  <c r="F165" i="3"/>
  <c r="G165" i="3" s="1"/>
  <c r="F166" i="3"/>
  <c r="G166" i="3"/>
  <c r="F167" i="3"/>
  <c r="G167" i="3" s="1"/>
  <c r="F168" i="3"/>
  <c r="G168" i="3"/>
  <c r="F169" i="3"/>
  <c r="G169" i="3"/>
  <c r="F170" i="3"/>
  <c r="G170" i="3"/>
  <c r="F171" i="3"/>
  <c r="G171" i="3"/>
  <c r="F172" i="3"/>
  <c r="G172" i="3"/>
  <c r="F173" i="3"/>
  <c r="G173" i="3" s="1"/>
  <c r="F174" i="3"/>
  <c r="G174" i="3"/>
  <c r="F175" i="3"/>
  <c r="G175" i="3" s="1"/>
  <c r="F176" i="3"/>
  <c r="G176" i="3" s="1"/>
  <c r="F177" i="3"/>
  <c r="G177" i="3"/>
  <c r="F178" i="3"/>
  <c r="G178" i="3" s="1"/>
  <c r="F179" i="3"/>
  <c r="G179" i="3" s="1"/>
  <c r="F180" i="3"/>
  <c r="G180" i="3"/>
  <c r="F181" i="3"/>
  <c r="G181" i="3" s="1"/>
  <c r="F182" i="3"/>
  <c r="G182" i="3" s="1"/>
  <c r="F183" i="3"/>
  <c r="G183" i="3"/>
  <c r="F184" i="3"/>
  <c r="G184" i="3" s="1"/>
  <c r="F185" i="3"/>
  <c r="G185" i="3"/>
  <c r="F186" i="3"/>
  <c r="G186" i="3" s="1"/>
  <c r="F187" i="3"/>
  <c r="G187" i="3"/>
  <c r="F188" i="3"/>
  <c r="G188" i="3"/>
  <c r="F189" i="3"/>
  <c r="G189" i="3"/>
  <c r="F190" i="3"/>
  <c r="G190" i="3"/>
  <c r="F191" i="3"/>
  <c r="G191" i="3" s="1"/>
  <c r="F192" i="3"/>
  <c r="G192" i="3"/>
  <c r="F193" i="3"/>
  <c r="G193" i="3"/>
  <c r="F194" i="3"/>
  <c r="G194" i="3"/>
  <c r="F195" i="3"/>
  <c r="G195" i="3"/>
  <c r="F196" i="3"/>
  <c r="G196" i="3"/>
  <c r="F197" i="3"/>
  <c r="G197" i="3" s="1"/>
  <c r="F198" i="3"/>
  <c r="G198" i="3" s="1"/>
  <c r="F199" i="3"/>
  <c r="G199" i="3"/>
  <c r="F200" i="3"/>
  <c r="G200" i="3" s="1"/>
  <c r="F201" i="3"/>
  <c r="G201" i="3"/>
  <c r="F202" i="3"/>
  <c r="G202" i="3"/>
  <c r="F203" i="3"/>
  <c r="G203" i="3" s="1"/>
  <c r="F204" i="3"/>
  <c r="G204" i="3" s="1"/>
  <c r="F205" i="3"/>
  <c r="G205" i="3" s="1"/>
  <c r="F206" i="3"/>
  <c r="G206" i="3"/>
  <c r="F207" i="3"/>
  <c r="G207" i="3"/>
  <c r="F208" i="3"/>
  <c r="G208" i="3"/>
  <c r="F209" i="3"/>
  <c r="G209" i="3" s="1"/>
  <c r="F210" i="3"/>
  <c r="G210" i="3" s="1"/>
  <c r="F211" i="3"/>
  <c r="G211" i="3"/>
  <c r="F212" i="3"/>
  <c r="G212" i="3"/>
  <c r="F213" i="3"/>
  <c r="G213" i="3"/>
  <c r="F214" i="3"/>
  <c r="G214" i="3"/>
  <c r="F215" i="3"/>
  <c r="G215" i="3"/>
  <c r="F216" i="3"/>
  <c r="G216" i="3" s="1"/>
  <c r="F217" i="3"/>
  <c r="G217" i="3" s="1"/>
  <c r="F218" i="3"/>
  <c r="G218" i="3" s="1"/>
  <c r="F219" i="3"/>
  <c r="G219" i="3"/>
  <c r="F220" i="3"/>
  <c r="G220" i="3"/>
  <c r="F221" i="3"/>
  <c r="G221" i="3"/>
  <c r="F222" i="3"/>
  <c r="G222" i="3" s="1"/>
  <c r="F223" i="3"/>
  <c r="G223" i="3" s="1"/>
  <c r="F224" i="3"/>
  <c r="G224" i="3" s="1"/>
  <c r="F225" i="3"/>
  <c r="G225" i="3"/>
  <c r="F226" i="3"/>
  <c r="G226" i="3"/>
  <c r="F227" i="3"/>
  <c r="G227" i="3" s="1"/>
  <c r="F228" i="3"/>
  <c r="G228" i="3"/>
  <c r="F229" i="3"/>
  <c r="G229" i="3" s="1"/>
  <c r="F230" i="3"/>
  <c r="G230" i="3"/>
  <c r="F231" i="3"/>
  <c r="G231" i="3"/>
  <c r="F232" i="3"/>
  <c r="G232" i="3"/>
  <c r="F233" i="3"/>
  <c r="G233" i="3"/>
  <c r="F234" i="3"/>
  <c r="G234" i="3"/>
  <c r="F235" i="3"/>
  <c r="G235" i="3" s="1"/>
  <c r="F236" i="3"/>
  <c r="G236" i="3" s="1"/>
  <c r="F237" i="3"/>
  <c r="G237" i="3"/>
  <c r="F238" i="3"/>
  <c r="G238" i="3"/>
  <c r="F239" i="3"/>
  <c r="G239" i="3"/>
  <c r="F240" i="3"/>
  <c r="G240" i="3"/>
  <c r="F241" i="3"/>
  <c r="G241" i="3" s="1"/>
  <c r="F242" i="3"/>
  <c r="G242" i="3" s="1"/>
  <c r="F243" i="3"/>
  <c r="G243" i="3" s="1"/>
  <c r="F244" i="3"/>
  <c r="G244" i="3"/>
  <c r="F245" i="3"/>
  <c r="G245" i="3" s="1"/>
  <c r="F246" i="3"/>
  <c r="G246" i="3" s="1"/>
  <c r="F247" i="3"/>
  <c r="G247" i="3"/>
  <c r="F248" i="3"/>
  <c r="G248" i="3" s="1"/>
  <c r="F249" i="3"/>
  <c r="G249" i="3"/>
  <c r="F250" i="3"/>
  <c r="G250" i="3"/>
  <c r="F251" i="3"/>
  <c r="G251" i="3"/>
  <c r="F252" i="3"/>
  <c r="G252" i="3"/>
  <c r="F253" i="3"/>
  <c r="G253" i="3"/>
  <c r="F254" i="3"/>
  <c r="G254" i="3" s="1"/>
  <c r="F255" i="3"/>
  <c r="G255" i="3"/>
  <c r="F256" i="3"/>
  <c r="G256" i="3"/>
  <c r="F257" i="3"/>
  <c r="G257" i="3"/>
  <c r="F258" i="3"/>
  <c r="G258" i="3"/>
  <c r="F259" i="3"/>
  <c r="G259" i="3"/>
  <c r="F260" i="3"/>
  <c r="G260" i="3" s="1"/>
  <c r="F261" i="3"/>
  <c r="G261" i="3" s="1"/>
  <c r="F262" i="3"/>
  <c r="G262" i="3" s="1"/>
  <c r="F263" i="3"/>
  <c r="G263" i="3" s="1"/>
  <c r="F264" i="3"/>
  <c r="G264" i="3" s="1"/>
  <c r="F265" i="3"/>
  <c r="G265" i="3" s="1"/>
  <c r="F266" i="3"/>
  <c r="G266" i="3"/>
  <c r="F267" i="3"/>
  <c r="G267" i="3" s="1"/>
  <c r="F268" i="3"/>
  <c r="G268" i="3"/>
  <c r="F269" i="3"/>
  <c r="G269" i="3"/>
  <c r="F270" i="3"/>
  <c r="G270" i="3"/>
  <c r="F271" i="3"/>
  <c r="G271" i="3"/>
  <c r="F272" i="3"/>
  <c r="G272" i="3" s="1"/>
  <c r="F273" i="3"/>
  <c r="G273" i="3"/>
  <c r="F274" i="3"/>
  <c r="G274" i="3"/>
  <c r="F275" i="3"/>
  <c r="G275" i="3"/>
  <c r="F276" i="3"/>
  <c r="G276" i="3"/>
  <c r="F277" i="3"/>
  <c r="G277" i="3"/>
  <c r="F278" i="3"/>
  <c r="G278" i="3"/>
  <c r="F279" i="3"/>
  <c r="G279" i="3" s="1"/>
  <c r="F280" i="3"/>
  <c r="G280" i="3" s="1"/>
  <c r="F281" i="3"/>
  <c r="G281" i="3" s="1"/>
  <c r="F282" i="3"/>
  <c r="G282" i="3"/>
  <c r="F283" i="3"/>
  <c r="G283" i="3" s="1"/>
  <c r="F284" i="3"/>
  <c r="G284" i="3" s="1"/>
  <c r="F285" i="3"/>
  <c r="G285" i="3"/>
  <c r="F286" i="3"/>
  <c r="G286" i="3" s="1"/>
  <c r="F287" i="3"/>
  <c r="G287" i="3"/>
  <c r="F288" i="3"/>
  <c r="G288" i="3"/>
  <c r="F289" i="3"/>
  <c r="G289" i="3"/>
  <c r="F290" i="3"/>
  <c r="G290" i="3" s="1"/>
  <c r="F291" i="3"/>
  <c r="G291" i="3" s="1"/>
  <c r="F292" i="3"/>
  <c r="G292" i="3"/>
  <c r="F293" i="3"/>
  <c r="G293" i="3"/>
  <c r="F294" i="3"/>
  <c r="G294" i="3"/>
  <c r="F295" i="3"/>
  <c r="G295" i="3"/>
  <c r="F296" i="3"/>
  <c r="G296" i="3"/>
  <c r="F297" i="3"/>
  <c r="G297" i="3"/>
  <c r="F298" i="3"/>
  <c r="G298" i="3" s="1"/>
  <c r="F299" i="3"/>
  <c r="G299" i="3" s="1"/>
  <c r="F300" i="3"/>
  <c r="G300" i="3"/>
  <c r="F301" i="3"/>
  <c r="G301" i="3"/>
  <c r="F302" i="3"/>
  <c r="G302" i="3" s="1"/>
  <c r="F303" i="3"/>
  <c r="G303" i="3" s="1"/>
  <c r="F304" i="3"/>
  <c r="G304" i="3"/>
  <c r="F305" i="3"/>
  <c r="G305" i="3" s="1"/>
  <c r="F306" i="3"/>
  <c r="G306" i="3"/>
  <c r="F307" i="3"/>
  <c r="G307" i="3"/>
  <c r="F308" i="3"/>
  <c r="G308" i="3" s="1"/>
  <c r="F309" i="3"/>
  <c r="G309" i="3" s="1"/>
  <c r="F310" i="3"/>
  <c r="G310" i="3" s="1"/>
  <c r="F311" i="3"/>
  <c r="G311" i="3"/>
  <c r="F312" i="3"/>
  <c r="G312" i="3"/>
  <c r="F313" i="3"/>
  <c r="G313" i="3"/>
  <c r="F314" i="3"/>
  <c r="G314" i="3"/>
  <c r="F315" i="3"/>
  <c r="G315" i="3"/>
  <c r="F316" i="3"/>
  <c r="G316" i="3"/>
  <c r="F317" i="3"/>
  <c r="G317" i="3" s="1"/>
  <c r="F318" i="3"/>
  <c r="G318" i="3"/>
  <c r="F319" i="3"/>
  <c r="G319" i="3"/>
  <c r="F320" i="3"/>
  <c r="G320" i="3"/>
  <c r="F321" i="3"/>
  <c r="G321" i="3" s="1"/>
  <c r="F322" i="3"/>
  <c r="G322" i="3" s="1"/>
  <c r="F323" i="3"/>
  <c r="G323" i="3"/>
  <c r="F324" i="3"/>
  <c r="G324" i="3" s="1"/>
  <c r="F325" i="3"/>
  <c r="G325" i="3"/>
  <c r="F326" i="3"/>
  <c r="G326" i="3" s="1"/>
  <c r="F327" i="3"/>
  <c r="G327" i="3" s="1"/>
  <c r="F328" i="3"/>
  <c r="G328" i="3" s="1"/>
  <c r="F329" i="3"/>
  <c r="G329" i="3" s="1"/>
  <c r="F330" i="3"/>
  <c r="G330" i="3"/>
  <c r="F331" i="3"/>
  <c r="G331" i="3"/>
  <c r="F332" i="3"/>
  <c r="G332" i="3" s="1"/>
  <c r="F333" i="3"/>
  <c r="G333" i="3"/>
  <c r="F334" i="3"/>
  <c r="G334" i="3"/>
  <c r="F335" i="3"/>
  <c r="G335" i="3" s="1"/>
  <c r="F336" i="3"/>
  <c r="G336" i="3"/>
  <c r="F337" i="3"/>
  <c r="G337" i="3"/>
  <c r="F338" i="3"/>
  <c r="G338" i="3"/>
  <c r="F339" i="3"/>
  <c r="G339" i="3"/>
  <c r="F340" i="3"/>
  <c r="G340" i="3" s="1"/>
  <c r="F341" i="3"/>
  <c r="G341" i="3" s="1"/>
  <c r="F342" i="3"/>
  <c r="G342" i="3"/>
  <c r="F343" i="3"/>
  <c r="G343" i="3" s="1"/>
  <c r="F344" i="3"/>
  <c r="G344" i="3" s="1"/>
  <c r="F345" i="3"/>
  <c r="G345" i="3"/>
  <c r="F346" i="3"/>
  <c r="G346" i="3" s="1"/>
  <c r="F347" i="3"/>
  <c r="G347" i="3" s="1"/>
  <c r="F348" i="3"/>
  <c r="G348" i="3" s="1"/>
  <c r="F349" i="3"/>
  <c r="G349" i="3"/>
  <c r="F350" i="3"/>
  <c r="G350" i="3"/>
  <c r="F351" i="3"/>
  <c r="G351" i="3" s="1"/>
  <c r="F352" i="3"/>
  <c r="G352" i="3"/>
  <c r="F353" i="3"/>
  <c r="G353" i="3" s="1"/>
  <c r="F354" i="3"/>
  <c r="G354" i="3"/>
  <c r="F355" i="3"/>
  <c r="G355" i="3"/>
  <c r="F356" i="3"/>
  <c r="G356" i="3"/>
  <c r="F357" i="3"/>
  <c r="G357" i="3"/>
  <c r="F358" i="3"/>
  <c r="G358" i="3"/>
  <c r="F359" i="3"/>
  <c r="G359" i="3" s="1"/>
  <c r="F360" i="3"/>
  <c r="G360" i="3"/>
  <c r="F361" i="3"/>
  <c r="G361" i="3"/>
  <c r="F362" i="3"/>
  <c r="G362" i="3" s="1"/>
  <c r="F363" i="3"/>
  <c r="G363" i="3"/>
  <c r="F364" i="3"/>
  <c r="G364" i="3"/>
  <c r="F365" i="3"/>
  <c r="G365" i="3" s="1"/>
  <c r="F366" i="3"/>
  <c r="G366" i="3" s="1"/>
  <c r="F367" i="3"/>
  <c r="G367" i="3" s="1"/>
  <c r="F368" i="3"/>
  <c r="G368" i="3"/>
  <c r="F369" i="3"/>
  <c r="G369" i="3"/>
  <c r="F370" i="3"/>
  <c r="G370" i="3" s="1"/>
  <c r="F371" i="3"/>
  <c r="G371" i="3" s="1"/>
  <c r="F372" i="3"/>
  <c r="G372" i="3" s="1"/>
  <c r="F373" i="3"/>
  <c r="G373" i="3"/>
  <c r="F374" i="3"/>
  <c r="G374" i="3"/>
  <c r="F375" i="3"/>
  <c r="G375" i="3"/>
  <c r="F376" i="3"/>
  <c r="G376" i="3"/>
  <c r="F377" i="3"/>
  <c r="G377" i="3" s="1"/>
  <c r="F378" i="3"/>
  <c r="G378" i="3" s="1"/>
  <c r="F379" i="3"/>
  <c r="G379" i="3"/>
  <c r="F380" i="3"/>
  <c r="G380" i="3" s="1"/>
  <c r="F381" i="3"/>
  <c r="G381" i="3"/>
  <c r="F382" i="3"/>
  <c r="G382" i="3"/>
  <c r="F383" i="3"/>
  <c r="G383" i="3"/>
  <c r="F384" i="3"/>
  <c r="G384" i="3" s="1"/>
  <c r="F385" i="3"/>
  <c r="G385" i="3" s="1"/>
  <c r="F386" i="3"/>
  <c r="G386" i="3" s="1"/>
  <c r="F387" i="3"/>
  <c r="G387" i="3"/>
  <c r="F388" i="3"/>
  <c r="G388" i="3"/>
  <c r="F389" i="3"/>
  <c r="G389" i="3" s="1"/>
  <c r="F390" i="3"/>
  <c r="G390" i="3"/>
  <c r="F391" i="3"/>
  <c r="G391" i="3" s="1"/>
  <c r="F392" i="3"/>
  <c r="G392" i="3"/>
  <c r="F393" i="3"/>
  <c r="G393" i="3"/>
  <c r="F394" i="3"/>
  <c r="G394" i="3"/>
  <c r="F395" i="3"/>
  <c r="G395" i="3"/>
  <c r="F396" i="3"/>
  <c r="G396" i="3" s="1"/>
  <c r="F397" i="3"/>
  <c r="G397" i="3" s="1"/>
  <c r="F398" i="3"/>
  <c r="G398" i="3" s="1"/>
  <c r="F399" i="3"/>
  <c r="G399" i="3" s="1"/>
  <c r="F400" i="3"/>
  <c r="G400" i="3"/>
  <c r="F401" i="3"/>
  <c r="G401" i="3"/>
  <c r="F402" i="3"/>
  <c r="G402" i="3"/>
  <c r="F403" i="3"/>
  <c r="G403" i="3" s="1"/>
  <c r="F404" i="3"/>
  <c r="G404" i="3" s="1"/>
  <c r="F405" i="3"/>
  <c r="G405" i="3" s="1"/>
  <c r="F406" i="3"/>
  <c r="G406" i="3"/>
  <c r="F407" i="3"/>
  <c r="G407" i="3" s="1"/>
  <c r="F408" i="3"/>
  <c r="G408" i="3"/>
  <c r="F409" i="3"/>
  <c r="G409" i="3"/>
  <c r="F410" i="3"/>
  <c r="G410" i="3" s="1"/>
  <c r="F411" i="3"/>
  <c r="G411" i="3"/>
  <c r="F412" i="3"/>
  <c r="G412" i="3"/>
  <c r="F413" i="3"/>
  <c r="G413" i="3"/>
  <c r="F414" i="3"/>
  <c r="G414" i="3"/>
  <c r="F415" i="3"/>
  <c r="G415" i="3" s="1"/>
  <c r="F416" i="3"/>
  <c r="G416" i="3" s="1"/>
  <c r="F417" i="3"/>
  <c r="G417" i="3"/>
  <c r="F418" i="3"/>
  <c r="G418" i="3" s="1"/>
  <c r="F419" i="3"/>
  <c r="G419" i="3"/>
  <c r="F420" i="3"/>
  <c r="G420" i="3"/>
  <c r="F421" i="3"/>
  <c r="G421" i="3"/>
  <c r="F422" i="3"/>
  <c r="G422" i="3" s="1"/>
  <c r="F423" i="3"/>
  <c r="G423" i="3" s="1"/>
  <c r="F424" i="3"/>
  <c r="G424" i="3" s="1"/>
  <c r="F425" i="3"/>
  <c r="G425" i="3" s="1"/>
  <c r="F426" i="3"/>
  <c r="G426" i="3" s="1"/>
  <c r="F427" i="3"/>
  <c r="G427" i="3"/>
  <c r="F428" i="3"/>
  <c r="G428" i="3"/>
  <c r="F429" i="3"/>
  <c r="G429" i="3" s="1"/>
  <c r="F430" i="3"/>
  <c r="G430" i="3"/>
  <c r="F431" i="3"/>
  <c r="G431" i="3"/>
  <c r="F432" i="3"/>
  <c r="G432" i="3"/>
  <c r="F433" i="3"/>
  <c r="G433" i="3"/>
  <c r="F434" i="3"/>
  <c r="G434" i="3" s="1"/>
  <c r="F435" i="3"/>
  <c r="G435" i="3"/>
  <c r="F436" i="3"/>
  <c r="G436" i="3"/>
  <c r="F437" i="3"/>
  <c r="G437" i="3" s="1"/>
  <c r="F438" i="3"/>
  <c r="G438" i="3"/>
  <c r="F439" i="3"/>
  <c r="G439" i="3"/>
  <c r="F440" i="3"/>
  <c r="G440" i="3"/>
  <c r="F441" i="3"/>
  <c r="G441" i="3" s="1"/>
  <c r="F442" i="3"/>
  <c r="G442" i="3" s="1"/>
  <c r="F443" i="3"/>
  <c r="G443" i="3" s="1"/>
  <c r="F444" i="3"/>
  <c r="G444" i="3" s="1"/>
  <c r="F445" i="3"/>
  <c r="G445" i="3" s="1"/>
  <c r="F446" i="3"/>
  <c r="G446" i="3"/>
  <c r="F447" i="3"/>
  <c r="G447" i="3"/>
  <c r="F448" i="3"/>
  <c r="G448" i="3" s="1"/>
  <c r="F449" i="3"/>
  <c r="G449" i="3"/>
  <c r="F450" i="3"/>
  <c r="G450" i="3"/>
  <c r="F451" i="3"/>
  <c r="G451" i="3"/>
  <c r="F452" i="3"/>
  <c r="G452" i="3" s="1"/>
  <c r="F453" i="3"/>
  <c r="G453" i="3" s="1"/>
  <c r="F454" i="3"/>
  <c r="G454" i="3"/>
  <c r="F455" i="3"/>
  <c r="G455" i="3"/>
  <c r="F456" i="3"/>
  <c r="G456" i="3" s="1"/>
  <c r="F457" i="3"/>
  <c r="G457" i="3"/>
  <c r="F458" i="3"/>
  <c r="G458" i="3"/>
  <c r="F459" i="3"/>
  <c r="G459" i="3"/>
  <c r="F460" i="3"/>
  <c r="G460" i="3" s="1"/>
  <c r="F461" i="3"/>
  <c r="G461" i="3" s="1"/>
  <c r="F462" i="3"/>
  <c r="G462" i="3"/>
  <c r="F463" i="3"/>
  <c r="G463" i="3" s="1"/>
  <c r="F464" i="3"/>
  <c r="G464" i="3" s="1"/>
  <c r="F465" i="3"/>
  <c r="G465" i="3"/>
  <c r="F466" i="3"/>
  <c r="G466" i="3"/>
  <c r="F467" i="3"/>
  <c r="G467" i="3" s="1"/>
  <c r="F468" i="3"/>
  <c r="G468" i="3"/>
  <c r="F469" i="3"/>
  <c r="G469" i="3"/>
  <c r="F470" i="3"/>
  <c r="G470" i="3" s="1"/>
  <c r="F471" i="3"/>
  <c r="G471" i="3" s="1"/>
  <c r="F472" i="3"/>
  <c r="G472" i="3" s="1"/>
  <c r="F473" i="3"/>
  <c r="G473" i="3"/>
  <c r="F474" i="3"/>
  <c r="G474" i="3"/>
  <c r="F475" i="3"/>
  <c r="G475" i="3" s="1"/>
  <c r="F476" i="3"/>
  <c r="G476" i="3"/>
  <c r="F477" i="3"/>
  <c r="G477" i="3"/>
  <c r="F478" i="3"/>
  <c r="G478" i="3"/>
  <c r="F479" i="3"/>
  <c r="G479" i="3" s="1"/>
  <c r="F480" i="3"/>
  <c r="G480" i="3"/>
  <c r="F481" i="3"/>
  <c r="G481" i="3"/>
  <c r="F482" i="3"/>
  <c r="G482" i="3" s="1"/>
  <c r="F483" i="3"/>
  <c r="G483" i="3" s="1"/>
  <c r="F484" i="3"/>
  <c r="G484" i="3"/>
  <c r="F485" i="3"/>
  <c r="G485" i="3"/>
  <c r="F486" i="3"/>
  <c r="G486" i="3" s="1"/>
  <c r="F487" i="3"/>
  <c r="G487" i="3"/>
  <c r="F488" i="3"/>
  <c r="G488" i="3" s="1"/>
  <c r="F489" i="3"/>
  <c r="G489" i="3" s="1"/>
  <c r="F490" i="3"/>
  <c r="G490" i="3" s="1"/>
  <c r="F491" i="3"/>
  <c r="G491" i="3" s="1"/>
  <c r="F492" i="3"/>
  <c r="G492" i="3"/>
  <c r="F493" i="3"/>
  <c r="G493" i="3"/>
  <c r="F494" i="3"/>
  <c r="G494" i="3" s="1"/>
  <c r="F495" i="3"/>
  <c r="G495" i="3"/>
  <c r="F496" i="3"/>
  <c r="G496" i="3"/>
  <c r="F497" i="3"/>
  <c r="G497" i="3" s="1"/>
  <c r="F498" i="3"/>
  <c r="G498" i="3"/>
  <c r="F499" i="3"/>
  <c r="G499" i="3"/>
  <c r="F500" i="3"/>
  <c r="G500" i="3"/>
  <c r="F501" i="3"/>
  <c r="G501" i="3" s="1"/>
  <c r="F502" i="3"/>
  <c r="G502" i="3"/>
  <c r="F503" i="3"/>
  <c r="G503" i="3"/>
  <c r="F504" i="3"/>
  <c r="G504" i="3"/>
  <c r="F505" i="3"/>
  <c r="G505" i="3" s="1"/>
  <c r="F506" i="3"/>
  <c r="G506" i="3" s="1"/>
  <c r="F507" i="3"/>
  <c r="G507" i="3"/>
  <c r="F508" i="3"/>
  <c r="G508" i="3" s="1"/>
  <c r="F509" i="3"/>
  <c r="G509" i="3" s="1"/>
  <c r="F510" i="3"/>
  <c r="G510" i="3" s="1"/>
  <c r="F511" i="3"/>
  <c r="G511" i="3"/>
  <c r="F512" i="3"/>
  <c r="G512" i="3"/>
  <c r="F513" i="3"/>
  <c r="G513" i="3" s="1"/>
  <c r="F514" i="3"/>
  <c r="G514" i="3"/>
  <c r="F515" i="3"/>
  <c r="G515" i="3" s="1"/>
  <c r="F516" i="3"/>
  <c r="G516" i="3"/>
  <c r="F517" i="3"/>
  <c r="G517" i="3"/>
  <c r="F518" i="3"/>
  <c r="G518" i="3"/>
  <c r="F519" i="3"/>
  <c r="G519" i="3"/>
  <c r="F520" i="3"/>
  <c r="G520" i="3" s="1"/>
  <c r="F521" i="3"/>
  <c r="G521" i="3"/>
  <c r="F522" i="3"/>
  <c r="G522" i="3"/>
  <c r="F523" i="3"/>
  <c r="G523" i="3"/>
  <c r="F524" i="3"/>
  <c r="G524" i="3" s="1"/>
  <c r="F525" i="3"/>
  <c r="G525" i="3"/>
  <c r="F526" i="3"/>
  <c r="G526" i="3"/>
  <c r="F527" i="3"/>
  <c r="G527" i="3" s="1"/>
  <c r="F528" i="3"/>
  <c r="G528" i="3" s="1"/>
  <c r="F529" i="3"/>
  <c r="G529" i="3" s="1"/>
  <c r="F530" i="3"/>
  <c r="G530" i="3"/>
  <c r="F531" i="3"/>
  <c r="G531" i="3"/>
  <c r="F532" i="3"/>
  <c r="G532" i="3" s="1"/>
  <c r="F533" i="3"/>
  <c r="G533" i="3" s="1"/>
  <c r="F534" i="3"/>
  <c r="G534" i="3" s="1"/>
  <c r="F535" i="3"/>
  <c r="G535" i="3"/>
  <c r="F536" i="3"/>
  <c r="G536" i="3"/>
  <c r="F537" i="3"/>
  <c r="G537" i="3"/>
  <c r="F538" i="3"/>
  <c r="G538" i="3"/>
  <c r="F539" i="3"/>
  <c r="G539" i="3" s="1"/>
  <c r="F540" i="3"/>
  <c r="G540" i="3"/>
  <c r="F541" i="3"/>
  <c r="G541" i="3"/>
  <c r="F542" i="3"/>
  <c r="G542" i="3" s="1"/>
  <c r="F543" i="3"/>
  <c r="G543" i="3"/>
  <c r="F544" i="3"/>
  <c r="G544" i="3"/>
  <c r="F545" i="3"/>
  <c r="G545" i="3"/>
  <c r="F546" i="3"/>
  <c r="G546" i="3" s="1"/>
  <c r="F547" i="3"/>
  <c r="G547" i="3" s="1"/>
  <c r="F548" i="3"/>
  <c r="G548" i="3" s="1"/>
  <c r="F549" i="3"/>
  <c r="G549" i="3"/>
  <c r="F550" i="3"/>
  <c r="G550" i="3"/>
  <c r="F551" i="3"/>
  <c r="G551" i="3" s="1"/>
  <c r="F552" i="3"/>
  <c r="G552" i="3"/>
  <c r="F553" i="3"/>
  <c r="G553" i="3" s="1"/>
  <c r="F554" i="3"/>
  <c r="G554" i="3"/>
  <c r="F555" i="3"/>
  <c r="G555" i="3"/>
  <c r="F556" i="3"/>
  <c r="G556" i="3"/>
  <c r="F557" i="3"/>
  <c r="G557" i="3"/>
  <c r="F558" i="3"/>
  <c r="G558" i="3" s="1"/>
  <c r="F559" i="3"/>
  <c r="G559" i="3"/>
  <c r="F560" i="3"/>
  <c r="G560" i="3" s="1"/>
  <c r="F561" i="3"/>
  <c r="G561" i="3" s="1"/>
  <c r="F562" i="3"/>
  <c r="G562" i="3"/>
  <c r="F563" i="3"/>
  <c r="G563" i="3"/>
  <c r="F564" i="3"/>
  <c r="G564" i="3"/>
  <c r="F565" i="3"/>
  <c r="G565" i="3" s="1"/>
  <c r="F566" i="3"/>
  <c r="G566" i="3" s="1"/>
  <c r="F567" i="3"/>
  <c r="G567" i="3" s="1"/>
  <c r="F568" i="3"/>
  <c r="G568" i="3"/>
  <c r="F569" i="3"/>
  <c r="G569" i="3" s="1"/>
  <c r="F570" i="3"/>
  <c r="G570" i="3"/>
  <c r="F571" i="3"/>
  <c r="G571" i="3"/>
  <c r="F572" i="3"/>
  <c r="G572" i="3" s="1"/>
  <c r="F573" i="3"/>
  <c r="G573" i="3"/>
  <c r="F574" i="3"/>
  <c r="G574" i="3"/>
  <c r="F575" i="3"/>
  <c r="G575" i="3"/>
  <c r="F576" i="3"/>
  <c r="G576" i="3"/>
  <c r="F577" i="3"/>
  <c r="G577" i="3" s="1"/>
  <c r="F578" i="3"/>
  <c r="G578" i="3" s="1"/>
  <c r="F579" i="3"/>
  <c r="G579" i="3"/>
  <c r="F580" i="3"/>
  <c r="G580" i="3" s="1"/>
  <c r="F581" i="3"/>
  <c r="G581" i="3"/>
  <c r="F582" i="3"/>
  <c r="G582" i="3"/>
  <c r="F583" i="3"/>
  <c r="G583" i="3"/>
  <c r="F584" i="3"/>
  <c r="G584" i="3" s="1"/>
  <c r="F585" i="3"/>
  <c r="G585" i="3" s="1"/>
  <c r="F586" i="3"/>
  <c r="G586" i="3" s="1"/>
  <c r="F587" i="3"/>
  <c r="G587" i="3" s="1"/>
  <c r="F588" i="3"/>
  <c r="G588" i="3"/>
  <c r="F589" i="3"/>
  <c r="G589" i="3"/>
  <c r="F590" i="3"/>
  <c r="G590" i="3"/>
  <c r="F591" i="3"/>
  <c r="G591" i="3" s="1"/>
  <c r="F592" i="3"/>
  <c r="G592" i="3"/>
  <c r="F593" i="3"/>
  <c r="G593" i="3"/>
  <c r="F594" i="3"/>
  <c r="G594" i="3"/>
  <c r="F595" i="3"/>
  <c r="G595" i="3"/>
  <c r="F596" i="3"/>
  <c r="G596" i="3" s="1"/>
  <c r="F597" i="3"/>
  <c r="G597" i="3"/>
  <c r="F598" i="3"/>
  <c r="G598" i="3"/>
  <c r="F599" i="3"/>
  <c r="G599" i="3" s="1"/>
  <c r="F600" i="3"/>
  <c r="G600" i="3"/>
  <c r="F601" i="3"/>
  <c r="G601" i="3"/>
  <c r="F602" i="3"/>
  <c r="G602" i="3"/>
  <c r="F603" i="3"/>
  <c r="G603" i="3" s="1"/>
  <c r="F604" i="3"/>
  <c r="G604" i="3" s="1"/>
  <c r="F605" i="3"/>
  <c r="G605" i="3" s="1"/>
  <c r="F606" i="3"/>
  <c r="G606" i="3" s="1"/>
  <c r="F607" i="3"/>
  <c r="G607" i="3"/>
  <c r="F608" i="3"/>
  <c r="G608" i="3"/>
  <c r="F609" i="3"/>
  <c r="G609" i="3"/>
  <c r="F610" i="3"/>
  <c r="G610" i="3" s="1"/>
  <c r="F611" i="3"/>
  <c r="G611" i="3"/>
  <c r="F612" i="3"/>
  <c r="G612" i="3"/>
  <c r="F613" i="3"/>
  <c r="G613" i="3"/>
  <c r="F614" i="3"/>
  <c r="G614" i="3" s="1"/>
  <c r="F615" i="3"/>
  <c r="G615" i="3" s="1"/>
  <c r="F616" i="3"/>
  <c r="G616" i="3"/>
  <c r="F617" i="3"/>
  <c r="G617" i="3"/>
  <c r="F618" i="3"/>
  <c r="G618" i="3" s="1"/>
  <c r="F619" i="3"/>
  <c r="G619" i="3"/>
  <c r="F620" i="3"/>
  <c r="G620" i="3"/>
  <c r="F621" i="3"/>
  <c r="G621" i="3"/>
  <c r="F622" i="3"/>
  <c r="G622" i="3" s="1"/>
  <c r="F623" i="3"/>
  <c r="G623" i="3" s="1"/>
  <c r="F624" i="3"/>
  <c r="G624" i="3"/>
  <c r="F625" i="3"/>
  <c r="G625" i="3" s="1"/>
  <c r="F626" i="3"/>
  <c r="G626" i="3"/>
  <c r="F627" i="3"/>
  <c r="G627" i="3"/>
  <c r="F628" i="3"/>
  <c r="G628" i="3"/>
  <c r="F629" i="3"/>
  <c r="G629" i="3" s="1"/>
  <c r="F630" i="3"/>
  <c r="G630" i="3"/>
  <c r="F631" i="3"/>
  <c r="G631" i="3"/>
  <c r="F632" i="3"/>
  <c r="G632" i="3" s="1"/>
  <c r="F633" i="3"/>
  <c r="G633" i="3" s="1"/>
  <c r="F634" i="3"/>
  <c r="G634" i="3" s="1"/>
  <c r="F635" i="3"/>
  <c r="G635" i="3"/>
  <c r="F636" i="3"/>
  <c r="G636" i="3"/>
  <c r="F637" i="3"/>
  <c r="G637" i="3"/>
  <c r="F638" i="3"/>
  <c r="G638" i="3"/>
  <c r="F639" i="3"/>
  <c r="G639" i="3"/>
  <c r="F640" i="3"/>
  <c r="G640" i="3"/>
  <c r="F641" i="3"/>
  <c r="G641" i="3" s="1"/>
  <c r="F642" i="3"/>
  <c r="G642" i="3"/>
  <c r="F643" i="3"/>
  <c r="G643" i="3"/>
  <c r="F644" i="3"/>
  <c r="G644" i="3" s="1"/>
  <c r="F645" i="3"/>
  <c r="G645" i="3"/>
  <c r="F646" i="3"/>
  <c r="G646" i="3"/>
  <c r="F647" i="3"/>
  <c r="G647" i="3"/>
  <c r="F648" i="3"/>
  <c r="G648" i="3" s="1"/>
  <c r="F649" i="3"/>
  <c r="G649" i="3"/>
  <c r="F650" i="3"/>
  <c r="G650" i="3" s="1"/>
  <c r="F651" i="3"/>
  <c r="G651" i="3" s="1"/>
  <c r="F652" i="3"/>
  <c r="G652" i="3" s="1"/>
  <c r="F653" i="3"/>
  <c r="G653" i="3" s="1"/>
  <c r="F654" i="3"/>
  <c r="G654" i="3"/>
  <c r="F655" i="3"/>
  <c r="G655" i="3"/>
  <c r="F656" i="3"/>
  <c r="G656" i="3"/>
  <c r="F657" i="3"/>
  <c r="G657" i="3"/>
  <c r="F658" i="3"/>
  <c r="G658" i="3"/>
  <c r="F659" i="3"/>
  <c r="G659" i="3" s="1"/>
  <c r="F660" i="3"/>
  <c r="G660" i="3"/>
  <c r="F661" i="3"/>
  <c r="G661" i="3"/>
  <c r="F662" i="3"/>
  <c r="G662" i="3"/>
  <c r="F663" i="3"/>
  <c r="G663" i="3" s="1"/>
  <c r="F664" i="3"/>
  <c r="G664" i="3"/>
  <c r="F665" i="3"/>
  <c r="G665" i="3"/>
  <c r="F666" i="3"/>
  <c r="G666" i="3"/>
  <c r="F667" i="3"/>
  <c r="G667" i="3" s="1"/>
  <c r="F668" i="3"/>
  <c r="G668" i="3" s="1"/>
  <c r="F669" i="3"/>
  <c r="G669" i="3"/>
  <c r="F670" i="3"/>
  <c r="G670" i="3" s="1"/>
  <c r="F671" i="3"/>
  <c r="G671" i="3" s="1"/>
  <c r="F672" i="3"/>
  <c r="G672" i="3" s="1"/>
  <c r="F673" i="3"/>
  <c r="G673" i="3"/>
  <c r="F674" i="3"/>
  <c r="G674" i="3"/>
  <c r="F675" i="3"/>
  <c r="G675" i="3"/>
  <c r="F676" i="3"/>
  <c r="G676" i="3"/>
  <c r="F677" i="3"/>
  <c r="G677" i="3" s="1"/>
  <c r="F678" i="3"/>
  <c r="G678" i="3"/>
  <c r="F679" i="3"/>
  <c r="G679" i="3"/>
  <c r="F680" i="3"/>
  <c r="G680" i="3"/>
  <c r="F681" i="3"/>
  <c r="G681" i="3"/>
  <c r="F682" i="3"/>
  <c r="G682" i="3" s="1"/>
  <c r="F683" i="3"/>
  <c r="G683" i="3"/>
  <c r="F684" i="3"/>
  <c r="G684" i="3"/>
  <c r="F685" i="3"/>
  <c r="G685" i="3"/>
  <c r="F686" i="3"/>
  <c r="G686" i="3" s="1"/>
  <c r="F687" i="3"/>
  <c r="G687" i="3"/>
  <c r="F688" i="3"/>
  <c r="G688" i="3"/>
  <c r="F689" i="3"/>
  <c r="G689" i="3" s="1"/>
  <c r="F690" i="3"/>
  <c r="G690" i="3" s="1"/>
  <c r="F691" i="3"/>
  <c r="G691" i="3" s="1"/>
  <c r="F692" i="3"/>
  <c r="G692" i="3"/>
  <c r="F693" i="3"/>
  <c r="G693" i="3"/>
  <c r="F694" i="3"/>
  <c r="G694" i="3"/>
  <c r="F695" i="3"/>
  <c r="G695" i="3" s="1"/>
  <c r="F696" i="3"/>
  <c r="G696" i="3" s="1"/>
  <c r="F697" i="3"/>
  <c r="G697" i="3"/>
  <c r="F698" i="3"/>
  <c r="G698" i="3"/>
  <c r="F699" i="3"/>
  <c r="G699" i="3"/>
  <c r="F700" i="3"/>
  <c r="G700" i="3"/>
  <c r="F701" i="3"/>
  <c r="G701" i="3" s="1"/>
  <c r="F702" i="3"/>
  <c r="G702" i="3"/>
  <c r="F703" i="3"/>
  <c r="G703" i="3"/>
  <c r="F704" i="3"/>
  <c r="G704" i="3" s="1"/>
  <c r="F705" i="3"/>
  <c r="G705" i="3"/>
  <c r="F706" i="3"/>
  <c r="G706" i="3"/>
  <c r="F707" i="3"/>
  <c r="G707" i="3"/>
  <c r="F708" i="3"/>
  <c r="G708" i="3" s="1"/>
  <c r="F709" i="3"/>
  <c r="G709" i="3" s="1"/>
  <c r="F710" i="3"/>
  <c r="G710" i="3" s="1"/>
  <c r="F711" i="3"/>
  <c r="G711" i="3"/>
  <c r="F712" i="3"/>
  <c r="G712" i="3"/>
  <c r="F713" i="3"/>
  <c r="G713" i="3" s="1"/>
  <c r="F714" i="3"/>
  <c r="G714" i="3"/>
  <c r="F715" i="3"/>
  <c r="G715" i="3" s="1"/>
  <c r="F716" i="3"/>
  <c r="G716" i="3"/>
  <c r="F717" i="3"/>
  <c r="G717" i="3"/>
  <c r="F718" i="3"/>
  <c r="G718" i="3"/>
  <c r="F719" i="3"/>
  <c r="G719" i="3"/>
  <c r="F720" i="3"/>
  <c r="G720" i="3" s="1"/>
  <c r="F721" i="3"/>
  <c r="G721" i="3"/>
  <c r="F722" i="3"/>
  <c r="G722" i="3" s="1"/>
  <c r="F723" i="3"/>
  <c r="G723" i="3"/>
  <c r="F724" i="3"/>
  <c r="G724" i="3"/>
  <c r="F725" i="3"/>
  <c r="G725" i="3"/>
  <c r="F726" i="3"/>
  <c r="G726" i="3"/>
  <c r="F727" i="3"/>
  <c r="G727" i="3" s="1"/>
  <c r="F728" i="3"/>
  <c r="G728" i="3" s="1"/>
  <c r="F729" i="3"/>
  <c r="G729" i="3" s="1"/>
  <c r="F730" i="3"/>
  <c r="G730" i="3"/>
  <c r="F731" i="3"/>
  <c r="G731" i="3" s="1"/>
  <c r="F732" i="3"/>
  <c r="G732" i="3"/>
  <c r="F733" i="3"/>
  <c r="G733" i="3"/>
  <c r="F734" i="3"/>
  <c r="G734" i="3" s="1"/>
  <c r="F735" i="3"/>
  <c r="G735" i="3"/>
  <c r="F736" i="3"/>
  <c r="G736" i="3"/>
  <c r="F737" i="3"/>
  <c r="G737" i="3"/>
  <c r="F738" i="3"/>
  <c r="G738" i="3"/>
  <c r="F739" i="3"/>
  <c r="G739" i="3" s="1"/>
  <c r="F740" i="3"/>
  <c r="G740" i="3" s="1"/>
  <c r="F741" i="3"/>
  <c r="G741" i="3"/>
  <c r="F742" i="3"/>
  <c r="G742" i="3"/>
  <c r="F743" i="3"/>
  <c r="G743" i="3"/>
  <c r="F744" i="3"/>
  <c r="G744" i="3"/>
  <c r="F745" i="3"/>
  <c r="G745" i="3"/>
  <c r="F746" i="3"/>
  <c r="G746" i="3" s="1"/>
  <c r="F747" i="3"/>
  <c r="G747" i="3" s="1"/>
  <c r="F748" i="3"/>
  <c r="G748" i="3" s="1"/>
  <c r="F749" i="3"/>
  <c r="G749" i="3" s="1"/>
  <c r="F750" i="3"/>
  <c r="G750" i="3"/>
  <c r="F751" i="3"/>
  <c r="G751" i="3"/>
  <c r="F752" i="3"/>
  <c r="G752" i="3"/>
  <c r="F753" i="3"/>
  <c r="G753" i="3" s="1"/>
  <c r="F754" i="3"/>
  <c r="G754" i="3"/>
  <c r="F755" i="3"/>
  <c r="G755" i="3"/>
  <c r="F756" i="3"/>
  <c r="G756" i="3"/>
  <c r="F757" i="3"/>
  <c r="G757" i="3"/>
  <c r="F758" i="3"/>
  <c r="G758" i="3" s="1"/>
  <c r="F759" i="3"/>
  <c r="G759" i="3"/>
  <c r="F760" i="3"/>
  <c r="G760" i="3"/>
  <c r="F761" i="3"/>
  <c r="G761" i="3"/>
  <c r="F762" i="3"/>
  <c r="G762" i="3"/>
  <c r="F763" i="3"/>
  <c r="G763" i="3"/>
  <c r="F764" i="3"/>
  <c r="G764" i="3"/>
  <c r="F765" i="3"/>
  <c r="G765" i="3" s="1"/>
  <c r="F766" i="3"/>
  <c r="G766" i="3" s="1"/>
  <c r="F767" i="3"/>
  <c r="G767" i="3" s="1"/>
  <c r="F768" i="3"/>
  <c r="G768" i="3" s="1"/>
  <c r="F769" i="3"/>
  <c r="G769" i="3"/>
  <c r="F770" i="3"/>
  <c r="G770" i="3"/>
  <c r="F771" i="3"/>
  <c r="G771" i="3"/>
  <c r="F772" i="3"/>
  <c r="G772" i="3" s="1"/>
  <c r="F773" i="3"/>
  <c r="G773" i="3"/>
  <c r="F774" i="3"/>
  <c r="G774" i="3"/>
  <c r="F775" i="3"/>
  <c r="G775" i="3"/>
  <c r="F776" i="3"/>
  <c r="G776" i="3" s="1"/>
  <c r="F777" i="3"/>
  <c r="G777" i="3" s="1"/>
  <c r="F778" i="3"/>
  <c r="G778" i="3"/>
  <c r="F779" i="3"/>
  <c r="G779" i="3"/>
  <c r="F780" i="3"/>
  <c r="G780" i="3"/>
  <c r="F781" i="3"/>
  <c r="G781" i="3"/>
  <c r="F782" i="3"/>
  <c r="G782" i="3"/>
  <c r="F783" i="3"/>
  <c r="G783" i="3"/>
  <c r="F784" i="3"/>
  <c r="G784" i="3" s="1"/>
  <c r="F785" i="3"/>
  <c r="G785" i="3" s="1"/>
  <c r="F786" i="3"/>
  <c r="G786" i="3"/>
  <c r="F787" i="3"/>
  <c r="G787" i="3" s="1"/>
  <c r="F788" i="3"/>
  <c r="G788" i="3"/>
  <c r="F789" i="3"/>
  <c r="G789" i="3"/>
  <c r="F790" i="3"/>
  <c r="G790" i="3"/>
  <c r="F791" i="3"/>
  <c r="G791" i="3" s="1"/>
  <c r="F792" i="3"/>
  <c r="G792" i="3"/>
  <c r="F793" i="3"/>
  <c r="G793" i="3"/>
  <c r="F794" i="3"/>
  <c r="G794" i="3" s="1"/>
  <c r="F795" i="3"/>
  <c r="G795" i="3" s="1"/>
  <c r="F796" i="3"/>
  <c r="G796" i="3" s="1"/>
  <c r="F797" i="3"/>
  <c r="G797" i="3"/>
  <c r="F798" i="3"/>
  <c r="G798" i="3"/>
  <c r="F799" i="3"/>
  <c r="G799" i="3"/>
  <c r="F800" i="3"/>
  <c r="G800" i="3"/>
  <c r="F801" i="3"/>
  <c r="G801" i="3"/>
  <c r="F802" i="3"/>
  <c r="G802" i="3"/>
  <c r="F803" i="3"/>
  <c r="G803" i="3" s="1"/>
  <c r="F804" i="3"/>
  <c r="G804" i="3"/>
  <c r="F805" i="3"/>
  <c r="G805" i="3"/>
  <c r="F806" i="3"/>
  <c r="G806" i="3" s="1"/>
  <c r="F807" i="3"/>
  <c r="G807" i="3"/>
  <c r="F808" i="3"/>
  <c r="G808" i="3"/>
  <c r="F809" i="3"/>
  <c r="G809" i="3"/>
  <c r="F810" i="3"/>
  <c r="G810" i="3" s="1"/>
  <c r="F811" i="3"/>
  <c r="G811" i="3"/>
  <c r="F812" i="3"/>
  <c r="G812" i="3" s="1"/>
  <c r="F813" i="3"/>
  <c r="G813" i="3" s="1"/>
  <c r="F814" i="3"/>
  <c r="G814" i="3" s="1"/>
  <c r="F815" i="3"/>
  <c r="G815" i="3" s="1"/>
  <c r="F816" i="3"/>
  <c r="G816" i="3"/>
  <c r="F817" i="3"/>
  <c r="G817" i="3"/>
  <c r="F818" i="3"/>
  <c r="G818" i="3"/>
  <c r="F819" i="3"/>
  <c r="G819" i="3"/>
  <c r="F820" i="3"/>
  <c r="G820" i="3"/>
  <c r="F821" i="3"/>
  <c r="G821" i="3" s="1"/>
  <c r="F822" i="3"/>
  <c r="G822" i="3"/>
  <c r="F823" i="3"/>
  <c r="G823" i="3"/>
  <c r="F824" i="3"/>
  <c r="G824" i="3"/>
  <c r="F825" i="3"/>
  <c r="G825" i="3" s="1"/>
  <c r="F826" i="3"/>
  <c r="G826" i="3"/>
  <c r="F827" i="3"/>
  <c r="G827" i="3"/>
  <c r="F828" i="3"/>
  <c r="G828" i="3"/>
  <c r="F829" i="3"/>
  <c r="G829" i="3" s="1"/>
  <c r="F830" i="3"/>
  <c r="G830" i="3" s="1"/>
  <c r="F831" i="3"/>
  <c r="G831" i="3"/>
  <c r="F832" i="3"/>
  <c r="G832" i="3" s="1"/>
  <c r="F833" i="3"/>
  <c r="G833" i="3" s="1"/>
  <c r="F834" i="3"/>
  <c r="G834" i="3" s="1"/>
  <c r="F835" i="3"/>
  <c r="G835" i="3"/>
  <c r="F836" i="3"/>
  <c r="G836" i="3"/>
  <c r="F837" i="3"/>
  <c r="G837" i="3"/>
  <c r="F838" i="3"/>
  <c r="G838" i="3"/>
  <c r="F839" i="3"/>
  <c r="G839" i="3" s="1"/>
  <c r="F840" i="3"/>
  <c r="G840" i="3"/>
  <c r="F841" i="3"/>
  <c r="G841" i="3"/>
  <c r="F842" i="3"/>
  <c r="G842" i="3"/>
  <c r="F843" i="3"/>
  <c r="G843" i="3"/>
  <c r="F844" i="3"/>
  <c r="G844" i="3" s="1"/>
  <c r="F845" i="3"/>
  <c r="G845" i="3"/>
  <c r="F846" i="3"/>
  <c r="G846" i="3"/>
  <c r="F847" i="3"/>
  <c r="G847" i="3"/>
  <c r="F848" i="3"/>
  <c r="G848" i="3" s="1"/>
  <c r="F849" i="3"/>
  <c r="G849" i="3"/>
  <c r="F850" i="3"/>
  <c r="G850" i="3"/>
  <c r="F851" i="3"/>
  <c r="G851" i="3" s="1"/>
  <c r="F852" i="3"/>
  <c r="G852" i="3" s="1"/>
  <c r="F853" i="3"/>
  <c r="G853" i="3" s="1"/>
  <c r="F854" i="3"/>
  <c r="G854" i="3"/>
  <c r="F855" i="3"/>
  <c r="G855" i="3"/>
  <c r="F856" i="3"/>
  <c r="G856" i="3"/>
  <c r="F857" i="3"/>
  <c r="G857" i="3" s="1"/>
  <c r="F858" i="3"/>
  <c r="G858" i="3" s="1"/>
  <c r="F859" i="3"/>
  <c r="G859" i="3"/>
  <c r="F860" i="3"/>
  <c r="G860" i="3"/>
  <c r="F861" i="3"/>
  <c r="G861" i="3"/>
  <c r="F862" i="3"/>
  <c r="G862" i="3"/>
  <c r="F863" i="3"/>
  <c r="G863" i="3" s="1"/>
  <c r="F864" i="3"/>
  <c r="G864" i="3"/>
  <c r="F865" i="3"/>
  <c r="G865" i="3"/>
  <c r="F866" i="3"/>
  <c r="G866" i="3" s="1"/>
  <c r="F867" i="3"/>
  <c r="G867" i="3"/>
  <c r="F868" i="3"/>
  <c r="G868" i="3"/>
  <c r="F869" i="3"/>
  <c r="G869" i="3"/>
  <c r="F870" i="3"/>
  <c r="G870" i="3" s="1"/>
  <c r="F871" i="3"/>
  <c r="G871" i="3" s="1"/>
  <c r="F872" i="3"/>
  <c r="G872" i="3" s="1"/>
  <c r="F873" i="3"/>
  <c r="G873" i="3"/>
  <c r="F874" i="3"/>
  <c r="G874" i="3"/>
  <c r="F875" i="3"/>
  <c r="G875" i="3" s="1"/>
  <c r="F876" i="3"/>
  <c r="G876" i="3"/>
  <c r="F877" i="3"/>
  <c r="G877" i="3" s="1"/>
  <c r="F878" i="3"/>
  <c r="G878" i="3"/>
  <c r="F879" i="3"/>
  <c r="G879" i="3"/>
  <c r="F880" i="3"/>
  <c r="G880" i="3"/>
  <c r="F881" i="3"/>
  <c r="G881" i="3"/>
  <c r="F882" i="3"/>
  <c r="G882" i="3" s="1"/>
  <c r="F883" i="3"/>
  <c r="G883" i="3"/>
  <c r="F884" i="3"/>
  <c r="G884" i="3" s="1"/>
  <c r="F885" i="3"/>
  <c r="G885" i="3"/>
  <c r="F886" i="3"/>
  <c r="G886" i="3"/>
  <c r="F887" i="3"/>
  <c r="G887" i="3"/>
  <c r="F888" i="3"/>
  <c r="G888" i="3"/>
  <c r="F889" i="3"/>
  <c r="G889" i="3" s="1"/>
  <c r="F890" i="3"/>
  <c r="G890" i="3" s="1"/>
  <c r="F891" i="3"/>
  <c r="G891" i="3" s="1"/>
  <c r="F892" i="3"/>
  <c r="G892" i="3"/>
  <c r="F893" i="3"/>
  <c r="G893" i="3" s="1"/>
  <c r="F894" i="3"/>
  <c r="G894" i="3"/>
  <c r="F895" i="3"/>
  <c r="G895" i="3"/>
  <c r="F896" i="3"/>
  <c r="G896" i="3" s="1"/>
  <c r="F897" i="3"/>
  <c r="G897" i="3"/>
  <c r="F898" i="3"/>
  <c r="G898" i="3"/>
  <c r="F899" i="3"/>
  <c r="G899" i="3"/>
  <c r="F900" i="3"/>
  <c r="G900" i="3"/>
  <c r="F901" i="3"/>
  <c r="G901" i="3" s="1"/>
  <c r="F902" i="3"/>
  <c r="G902" i="3" s="1"/>
  <c r="F903" i="3"/>
  <c r="G903" i="3"/>
  <c r="F904" i="3"/>
  <c r="G904" i="3"/>
  <c r="F905" i="3"/>
  <c r="G905" i="3"/>
  <c r="F906" i="3"/>
  <c r="G906" i="3"/>
  <c r="F907" i="3"/>
  <c r="G907" i="3"/>
  <c r="F908" i="3"/>
  <c r="G908" i="3" s="1"/>
  <c r="F909" i="3"/>
  <c r="G909" i="3" s="1"/>
  <c r="F910" i="3"/>
  <c r="G910" i="3" s="1"/>
  <c r="F911" i="3"/>
  <c r="G911" i="3" s="1"/>
  <c r="F912" i="3"/>
  <c r="G912" i="3"/>
  <c r="F913" i="3"/>
  <c r="G913" i="3"/>
  <c r="F914" i="3"/>
  <c r="G914" i="3"/>
  <c r="F915" i="3"/>
  <c r="G915" i="3" s="1"/>
  <c r="F916" i="3"/>
  <c r="G916" i="3"/>
  <c r="F917" i="3"/>
  <c r="G917" i="3"/>
  <c r="F918" i="3"/>
  <c r="G918" i="3"/>
  <c r="F919" i="3"/>
  <c r="G919" i="3"/>
  <c r="F920" i="3"/>
  <c r="G920" i="3" s="1"/>
  <c r="F921" i="3"/>
  <c r="G921" i="3"/>
  <c r="F922" i="3"/>
  <c r="G922" i="3"/>
  <c r="F923" i="3"/>
  <c r="G923" i="3"/>
  <c r="F924" i="3"/>
  <c r="G924" i="3" s="1"/>
  <c r="F925" i="3"/>
  <c r="G925" i="3"/>
  <c r="F926" i="3"/>
  <c r="G926" i="3"/>
  <c r="F927" i="3"/>
  <c r="G927" i="3"/>
  <c r="F928" i="3"/>
  <c r="G928" i="3"/>
  <c r="F929" i="3"/>
  <c r="G929" i="3" s="1"/>
  <c r="F930" i="3"/>
  <c r="G930" i="3"/>
  <c r="F931" i="3"/>
  <c r="G931" i="3"/>
  <c r="F932" i="3"/>
  <c r="G932" i="3"/>
  <c r="F933" i="3"/>
  <c r="G933" i="3" s="1"/>
  <c r="F934" i="3"/>
  <c r="G934" i="3"/>
  <c r="F935" i="3"/>
  <c r="G935" i="3"/>
  <c r="F936" i="3"/>
  <c r="G936" i="3"/>
  <c r="F937" i="3"/>
  <c r="G937" i="3"/>
  <c r="F938" i="3"/>
  <c r="G938" i="3" s="1"/>
  <c r="F939" i="3"/>
  <c r="G939" i="3"/>
  <c r="F940" i="3"/>
  <c r="G940" i="3"/>
  <c r="F941" i="3"/>
  <c r="G941" i="3"/>
  <c r="F942" i="3"/>
  <c r="G942" i="3" s="1"/>
  <c r="F943" i="3"/>
  <c r="G943" i="3"/>
  <c r="F944" i="3"/>
  <c r="G944" i="3"/>
  <c r="F945" i="3"/>
  <c r="G945" i="3"/>
  <c r="F946" i="3"/>
  <c r="G946" i="3"/>
  <c r="F947" i="3"/>
  <c r="G947" i="3" s="1"/>
  <c r="F948" i="3"/>
  <c r="G948" i="3"/>
  <c r="F949" i="3"/>
  <c r="G949" i="3"/>
  <c r="F950" i="3"/>
  <c r="G950" i="3"/>
  <c r="F951" i="3"/>
  <c r="G951" i="3" s="1"/>
  <c r="F952" i="3"/>
  <c r="G952" i="3"/>
  <c r="F953" i="3"/>
  <c r="G953" i="3"/>
  <c r="F954" i="3"/>
  <c r="G954" i="3"/>
  <c r="F955" i="3"/>
  <c r="G955" i="3"/>
  <c r="F956" i="3"/>
  <c r="G956" i="3" s="1"/>
  <c r="F957" i="3"/>
  <c r="G957" i="3"/>
  <c r="F958" i="3"/>
  <c r="G958" i="3"/>
  <c r="F959" i="3"/>
  <c r="G959" i="3"/>
  <c r="F960" i="3"/>
  <c r="G960" i="3" s="1"/>
  <c r="F961" i="3"/>
  <c r="G961" i="3"/>
  <c r="F962" i="3"/>
  <c r="G962" i="3"/>
  <c r="F963" i="3"/>
  <c r="G963" i="3"/>
  <c r="F964" i="3"/>
  <c r="G964" i="3"/>
  <c r="F965" i="3"/>
  <c r="G965" i="3" s="1"/>
  <c r="F966" i="3"/>
  <c r="G966" i="3"/>
  <c r="F967" i="3"/>
  <c r="G967" i="3"/>
  <c r="F968" i="3"/>
  <c r="G968" i="3"/>
  <c r="F969" i="3"/>
  <c r="G969" i="3" s="1"/>
  <c r="F970" i="3"/>
  <c r="G970" i="3"/>
  <c r="F971" i="3"/>
  <c r="G971" i="3"/>
  <c r="F972" i="3"/>
  <c r="G972" i="3"/>
  <c r="F973" i="3"/>
  <c r="G973" i="3" s="1"/>
  <c r="F974" i="3"/>
  <c r="G974" i="3" s="1"/>
  <c r="F975" i="3"/>
  <c r="G975" i="3"/>
  <c r="F976" i="3"/>
  <c r="G976" i="3"/>
  <c r="F977" i="3"/>
  <c r="G977" i="3"/>
  <c r="F978" i="3"/>
  <c r="G978" i="3" s="1"/>
  <c r="F979" i="3"/>
  <c r="G979" i="3"/>
  <c r="F980" i="3"/>
  <c r="G980" i="3"/>
  <c r="F981" i="3"/>
  <c r="G981" i="3"/>
  <c r="F982" i="3"/>
  <c r="G982" i="3" s="1"/>
  <c r="F983" i="3"/>
  <c r="G983" i="3" s="1"/>
  <c r="F984" i="3"/>
  <c r="G984" i="3"/>
  <c r="F985" i="3"/>
  <c r="G985" i="3"/>
  <c r="F986" i="3"/>
  <c r="G986" i="3"/>
  <c r="F987" i="3"/>
  <c r="G987" i="3" s="1"/>
  <c r="F988" i="3"/>
  <c r="G988" i="3"/>
  <c r="F989" i="3"/>
  <c r="G989" i="3"/>
  <c r="F990" i="3"/>
  <c r="G990" i="3"/>
  <c r="F991" i="3"/>
  <c r="G991" i="3" s="1"/>
  <c r="F992" i="3"/>
  <c r="G992" i="3" s="1"/>
  <c r="F993" i="3"/>
  <c r="G993" i="3"/>
  <c r="F994" i="3"/>
  <c r="G994" i="3"/>
  <c r="F995" i="3"/>
  <c r="G995" i="3"/>
  <c r="F996" i="3"/>
  <c r="G996" i="3" s="1"/>
  <c r="F997" i="3"/>
  <c r="G997" i="3"/>
  <c r="F998" i="3"/>
  <c r="G998" i="3"/>
  <c r="F999" i="3"/>
  <c r="G999" i="3"/>
  <c r="F1000" i="3"/>
  <c r="G1000" i="3" s="1"/>
  <c r="G154" i="3"/>
  <c r="F154" i="3"/>
  <c r="F153" i="3"/>
  <c r="G153" i="3"/>
  <c r="E149" i="3"/>
  <c r="E148" i="3" s="1"/>
  <c r="E147" i="3" s="1"/>
  <c r="E146" i="3" s="1"/>
  <c r="E145" i="3" s="1"/>
  <c r="E144" i="3" s="1"/>
  <c r="E143" i="3" s="1"/>
  <c r="E142" i="3" s="1"/>
  <c r="E141" i="3" s="1"/>
  <c r="E140" i="3" s="1"/>
  <c r="E139" i="3" s="1"/>
  <c r="E138" i="3" s="1"/>
  <c r="E137" i="3" s="1"/>
  <c r="E136" i="3" s="1"/>
  <c r="E135" i="3" s="1"/>
  <c r="E134" i="3" s="1"/>
  <c r="E133" i="3" s="1"/>
  <c r="E132" i="3" s="1"/>
  <c r="E131" i="3" s="1"/>
  <c r="E130" i="3" s="1"/>
  <c r="E129" i="3" s="1"/>
  <c r="E128" i="3" s="1"/>
  <c r="E127" i="3" s="1"/>
  <c r="E126" i="3" s="1"/>
  <c r="E125" i="3" s="1"/>
  <c r="E124" i="3" s="1"/>
  <c r="E123" i="3" s="1"/>
  <c r="E122" i="3" s="1"/>
  <c r="E121" i="3" s="1"/>
  <c r="E120" i="3" s="1"/>
  <c r="E119" i="3" s="1"/>
  <c r="E118" i="3" s="1"/>
  <c r="E117" i="3" s="1"/>
  <c r="E116" i="3" s="1"/>
  <c r="E115" i="3" s="1"/>
  <c r="E114" i="3" s="1"/>
  <c r="E113" i="3" s="1"/>
  <c r="E112" i="3" s="1"/>
  <c r="E111" i="3" s="1"/>
  <c r="E110" i="3" s="1"/>
  <c r="E109" i="3" s="1"/>
  <c r="E108" i="3" s="1"/>
  <c r="E107" i="3" s="1"/>
  <c r="E106" i="3" s="1"/>
  <c r="E105" i="3" s="1"/>
  <c r="E104" i="3" s="1"/>
  <c r="E103" i="3" s="1"/>
  <c r="E102" i="3" s="1"/>
  <c r="E101" i="3" s="1"/>
  <c r="E100" i="3" s="1"/>
  <c r="E99" i="3" s="1"/>
  <c r="E98" i="3" s="1"/>
  <c r="E97" i="3" s="1"/>
  <c r="E96" i="3" s="1"/>
  <c r="E95" i="3" s="1"/>
  <c r="E94" i="3" s="1"/>
  <c r="E93" i="3" s="1"/>
  <c r="E92" i="3" s="1"/>
  <c r="E91" i="3" s="1"/>
  <c r="E90" i="3" s="1"/>
  <c r="E89" i="3" s="1"/>
  <c r="E88" i="3" s="1"/>
  <c r="E87" i="3" s="1"/>
  <c r="E86" i="3" s="1"/>
  <c r="E85" i="3" s="1"/>
  <c r="E84" i="3" s="1"/>
  <c r="E83" i="3" s="1"/>
  <c r="E82" i="3" s="1"/>
  <c r="E81" i="3" s="1"/>
  <c r="E80" i="3" s="1"/>
  <c r="E79" i="3" s="1"/>
  <c r="E78" i="3" s="1"/>
  <c r="E77" i="3" s="1"/>
  <c r="E76" i="3" s="1"/>
  <c r="E75" i="3" s="1"/>
  <c r="E74" i="3" s="1"/>
  <c r="E73" i="3" s="1"/>
  <c r="E72" i="3" s="1"/>
  <c r="E71" i="3" s="1"/>
  <c r="E70" i="3" s="1"/>
  <c r="E69" i="3" s="1"/>
  <c r="E68" i="3" s="1"/>
  <c r="E67" i="3" s="1"/>
  <c r="E66" i="3" s="1"/>
  <c r="E65" i="3" s="1"/>
  <c r="E64" i="3" s="1"/>
  <c r="E63" i="3" s="1"/>
  <c r="E62" i="3" s="1"/>
  <c r="E61" i="3" s="1"/>
  <c r="E60" i="3" s="1"/>
  <c r="E59" i="3" s="1"/>
  <c r="E58" i="3" s="1"/>
  <c r="E57" i="3" s="1"/>
  <c r="E56" i="3" s="1"/>
  <c r="E55" i="3" s="1"/>
  <c r="E54" i="3" s="1"/>
  <c r="E53" i="3" s="1"/>
  <c r="E52" i="3" s="1"/>
  <c r="E51" i="3" s="1"/>
  <c r="E50" i="3" s="1"/>
  <c r="E49" i="3" s="1"/>
  <c r="E48" i="3" s="1"/>
  <c r="E47" i="3" s="1"/>
  <c r="E46" i="3" s="1"/>
  <c r="E45" i="3" s="1"/>
  <c r="E44" i="3" s="1"/>
  <c r="E43" i="3" s="1"/>
  <c r="E42" i="3" s="1"/>
  <c r="E41" i="3" s="1"/>
  <c r="E40" i="3" s="1"/>
  <c r="E39" i="3" s="1"/>
  <c r="E38" i="3" s="1"/>
  <c r="E37" i="3" s="1"/>
  <c r="E36" i="3" s="1"/>
  <c r="E35" i="3" s="1"/>
  <c r="E34" i="3" s="1"/>
  <c r="E33" i="3" s="1"/>
  <c r="E32" i="3" s="1"/>
  <c r="E31" i="3" s="1"/>
  <c r="E30" i="3" s="1"/>
  <c r="E29" i="3" s="1"/>
  <c r="E28" i="3" s="1"/>
  <c r="E27" i="3" s="1"/>
  <c r="E26" i="3" s="1"/>
  <c r="E25" i="3" s="1"/>
  <c r="E24" i="3" s="1"/>
  <c r="E23" i="3" s="1"/>
  <c r="E22" i="3" s="1"/>
  <c r="E21" i="3" s="1"/>
  <c r="E20" i="3" s="1"/>
  <c r="E19" i="3" s="1"/>
  <c r="E18" i="3" s="1"/>
  <c r="E17" i="3" s="1"/>
  <c r="E16" i="3" s="1"/>
  <c r="E15" i="3" s="1"/>
  <c r="E14" i="3" s="1"/>
  <c r="E13" i="3" s="1"/>
  <c r="E12" i="3" s="1"/>
  <c r="E11" i="3" s="1"/>
  <c r="E10" i="3" s="1"/>
  <c r="E9" i="3" s="1"/>
  <c r="E8" i="3" s="1"/>
  <c r="E7" i="3" s="1"/>
  <c r="E6" i="3" s="1"/>
  <c r="E5" i="3" s="1"/>
  <c r="E4" i="3" s="1"/>
  <c r="E3" i="3" s="1"/>
  <c r="E2" i="3" s="1"/>
  <c r="E150" i="3"/>
  <c r="E15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2" i="3"/>
  <c r="I153" i="2" l="1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52" i="2"/>
  <c r="E154" i="2"/>
  <c r="F154" i="2" s="1"/>
  <c r="E155" i="2"/>
  <c r="F155" i="2" s="1"/>
  <c r="E156" i="2"/>
  <c r="F156" i="2"/>
  <c r="E157" i="2"/>
  <c r="F157" i="2"/>
  <c r="E158" i="2"/>
  <c r="F158" i="2" s="1"/>
  <c r="E159" i="2"/>
  <c r="F159" i="2"/>
  <c r="E160" i="2"/>
  <c r="F160" i="2"/>
  <c r="E161" i="2"/>
  <c r="F161" i="2"/>
  <c r="E162" i="2"/>
  <c r="F162" i="2"/>
  <c r="E163" i="2"/>
  <c r="F163" i="2" s="1"/>
  <c r="E164" i="2"/>
  <c r="F164" i="2" s="1"/>
  <c r="E165" i="2"/>
  <c r="F165" i="2" s="1"/>
  <c r="E166" i="2"/>
  <c r="F166" i="2"/>
  <c r="E167" i="2"/>
  <c r="F167" i="2"/>
  <c r="E168" i="2"/>
  <c r="F168" i="2" s="1"/>
  <c r="E169" i="2"/>
  <c r="F169" i="2"/>
  <c r="E170" i="2"/>
  <c r="F170" i="2"/>
  <c r="E171" i="2"/>
  <c r="F171" i="2"/>
  <c r="E172" i="2"/>
  <c r="F172" i="2" s="1"/>
  <c r="E173" i="2"/>
  <c r="F173" i="2" s="1"/>
  <c r="E174" i="2"/>
  <c r="F174" i="2"/>
  <c r="E175" i="2"/>
  <c r="F175" i="2" s="1"/>
  <c r="E176" i="2"/>
  <c r="F176" i="2"/>
  <c r="E177" i="2"/>
  <c r="F177" i="2"/>
  <c r="E178" i="2"/>
  <c r="F178" i="2" s="1"/>
  <c r="E179" i="2"/>
  <c r="F179" i="2"/>
  <c r="E180" i="2"/>
  <c r="F180" i="2"/>
  <c r="E181" i="2"/>
  <c r="F181" i="2" s="1"/>
  <c r="E182" i="2"/>
  <c r="F182" i="2" s="1"/>
  <c r="E183" i="2"/>
  <c r="F183" i="2"/>
  <c r="E184" i="2"/>
  <c r="F184" i="2"/>
  <c r="E185" i="2"/>
  <c r="F185" i="2" s="1"/>
  <c r="E186" i="2"/>
  <c r="F186" i="2"/>
  <c r="E187" i="2"/>
  <c r="F187" i="2"/>
  <c r="E188" i="2"/>
  <c r="F188" i="2" s="1"/>
  <c r="E189" i="2"/>
  <c r="F189" i="2"/>
  <c r="E190" i="2"/>
  <c r="F190" i="2" s="1"/>
  <c r="E191" i="2"/>
  <c r="F191" i="2" s="1"/>
  <c r="E192" i="2"/>
  <c r="F192" i="2"/>
  <c r="E193" i="2"/>
  <c r="F193" i="2"/>
  <c r="E194" i="2"/>
  <c r="F194" i="2"/>
  <c r="E195" i="2"/>
  <c r="F195" i="2" s="1"/>
  <c r="E196" i="2"/>
  <c r="F196" i="2"/>
  <c r="E197" i="2"/>
  <c r="F197" i="2"/>
  <c r="E198" i="2"/>
  <c r="F198" i="2" s="1"/>
  <c r="E199" i="2"/>
  <c r="F199" i="2" s="1"/>
  <c r="E200" i="2"/>
  <c r="F200" i="2" s="1"/>
  <c r="E201" i="2"/>
  <c r="F201" i="2"/>
  <c r="E202" i="2"/>
  <c r="F202" i="2"/>
  <c r="E203" i="2"/>
  <c r="F203" i="2"/>
  <c r="E204" i="2"/>
  <c r="F204" i="2"/>
  <c r="E205" i="2"/>
  <c r="F205" i="2" s="1"/>
  <c r="E206" i="2"/>
  <c r="F206" i="2"/>
  <c r="E207" i="2"/>
  <c r="F207" i="2"/>
  <c r="E208" i="2"/>
  <c r="F208" i="2" s="1"/>
  <c r="E209" i="2"/>
  <c r="F209" i="2" s="1"/>
  <c r="E210" i="2"/>
  <c r="F210" i="2"/>
  <c r="E211" i="2"/>
  <c r="F211" i="2"/>
  <c r="E212" i="2"/>
  <c r="F212" i="2"/>
  <c r="E213" i="2"/>
  <c r="F213" i="2"/>
  <c r="E214" i="2"/>
  <c r="F214" i="2"/>
  <c r="E215" i="2"/>
  <c r="F215" i="2" s="1"/>
  <c r="E216" i="2"/>
  <c r="F216" i="2"/>
  <c r="E217" i="2"/>
  <c r="F217" i="2" s="1"/>
  <c r="E218" i="2"/>
  <c r="F218" i="2" s="1"/>
  <c r="E219" i="2"/>
  <c r="F219" i="2" s="1"/>
  <c r="E220" i="2"/>
  <c r="F220" i="2"/>
  <c r="E221" i="2"/>
  <c r="F221" i="2"/>
  <c r="E222" i="2"/>
  <c r="F222" i="2"/>
  <c r="E223" i="2"/>
  <c r="F223" i="2"/>
  <c r="E224" i="2"/>
  <c r="F224" i="2"/>
  <c r="E225" i="2"/>
  <c r="F225" i="2" s="1"/>
  <c r="E226" i="2"/>
  <c r="F226" i="2" s="1"/>
  <c r="E227" i="2"/>
  <c r="F227" i="2" s="1"/>
  <c r="E228" i="2"/>
  <c r="F228" i="2"/>
  <c r="E229" i="2"/>
  <c r="F229" i="2" s="1"/>
  <c r="E230" i="2"/>
  <c r="F230" i="2"/>
  <c r="E231" i="2"/>
  <c r="F231" i="2"/>
  <c r="E232" i="2"/>
  <c r="F232" i="2"/>
  <c r="E233" i="2"/>
  <c r="F233" i="2"/>
  <c r="E234" i="2"/>
  <c r="F234" i="2"/>
  <c r="E235" i="2"/>
  <c r="F235" i="2" s="1"/>
  <c r="E236" i="2"/>
  <c r="F236" i="2" s="1"/>
  <c r="E237" i="2"/>
  <c r="F237" i="2"/>
  <c r="E238" i="2"/>
  <c r="F238" i="2"/>
  <c r="E239" i="2"/>
  <c r="F239" i="2" s="1"/>
  <c r="E240" i="2"/>
  <c r="F240" i="2"/>
  <c r="E241" i="2"/>
  <c r="F241" i="2"/>
  <c r="E242" i="2"/>
  <c r="F242" i="2"/>
  <c r="E243" i="2"/>
  <c r="F243" i="2"/>
  <c r="E244" i="2"/>
  <c r="F244" i="2" s="1"/>
  <c r="E245" i="2"/>
  <c r="F245" i="2" s="1"/>
  <c r="E246" i="2"/>
  <c r="F246" i="2" s="1"/>
  <c r="E247" i="2"/>
  <c r="F247" i="2"/>
  <c r="E248" i="2"/>
  <c r="F248" i="2"/>
  <c r="E249" i="2"/>
  <c r="F249" i="2" s="1"/>
  <c r="E250" i="2"/>
  <c r="F250" i="2"/>
  <c r="E251" i="2"/>
  <c r="F251" i="2"/>
  <c r="E252" i="2"/>
  <c r="F252" i="2"/>
  <c r="E253" i="2"/>
  <c r="F253" i="2" s="1"/>
  <c r="E254" i="2"/>
  <c r="F254" i="2" s="1"/>
  <c r="E255" i="2"/>
  <c r="F255" i="2"/>
  <c r="E256" i="2"/>
  <c r="F256" i="2" s="1"/>
  <c r="E257" i="2"/>
  <c r="F257" i="2"/>
  <c r="E258" i="2"/>
  <c r="F258" i="2"/>
  <c r="E259" i="2"/>
  <c r="F259" i="2" s="1"/>
  <c r="E260" i="2"/>
  <c r="F260" i="2"/>
  <c r="E261" i="2"/>
  <c r="F261" i="2"/>
  <c r="E262" i="2"/>
  <c r="F262" i="2" s="1"/>
  <c r="E263" i="2"/>
  <c r="F263" i="2" s="1"/>
  <c r="E264" i="2"/>
  <c r="F264" i="2"/>
  <c r="E265" i="2"/>
  <c r="F265" i="2"/>
  <c r="E266" i="2"/>
  <c r="F266" i="2" s="1"/>
  <c r="E267" i="2"/>
  <c r="F267" i="2"/>
  <c r="E268" i="2"/>
  <c r="F268" i="2"/>
  <c r="E269" i="2"/>
  <c r="F269" i="2" s="1"/>
  <c r="E270" i="2"/>
  <c r="F270" i="2"/>
  <c r="E271" i="2"/>
  <c r="F271" i="2" s="1"/>
  <c r="E272" i="2"/>
  <c r="F272" i="2" s="1"/>
  <c r="E273" i="2"/>
  <c r="F273" i="2"/>
  <c r="E274" i="2"/>
  <c r="F274" i="2"/>
  <c r="E275" i="2"/>
  <c r="F275" i="2"/>
  <c r="E276" i="2"/>
  <c r="F276" i="2" s="1"/>
  <c r="E277" i="2"/>
  <c r="F277" i="2"/>
  <c r="E278" i="2"/>
  <c r="F278" i="2" s="1"/>
  <c r="E279" i="2"/>
  <c r="F279" i="2" s="1"/>
  <c r="E280" i="2"/>
  <c r="F280" i="2" s="1"/>
  <c r="E281" i="2"/>
  <c r="F281" i="2" s="1"/>
  <c r="E282" i="2"/>
  <c r="F282" i="2"/>
  <c r="E283" i="2"/>
  <c r="F283" i="2"/>
  <c r="E284" i="2"/>
  <c r="F284" i="2"/>
  <c r="E285" i="2"/>
  <c r="F285" i="2"/>
  <c r="E286" i="2"/>
  <c r="F286" i="2" s="1"/>
  <c r="E287" i="2"/>
  <c r="F287" i="2"/>
  <c r="E288" i="2"/>
  <c r="F288" i="2" s="1"/>
  <c r="E289" i="2"/>
  <c r="F289" i="2" s="1"/>
  <c r="E290" i="2"/>
  <c r="F290" i="2" s="1"/>
  <c r="E291" i="2"/>
  <c r="F291" i="2"/>
  <c r="E292" i="2"/>
  <c r="F292" i="2"/>
  <c r="E293" i="2"/>
  <c r="F293" i="2"/>
  <c r="E294" i="2"/>
  <c r="F294" i="2"/>
  <c r="E295" i="2"/>
  <c r="F295" i="2"/>
  <c r="E296" i="2"/>
  <c r="F296" i="2" s="1"/>
  <c r="E297" i="2"/>
  <c r="F297" i="2"/>
  <c r="E298" i="2"/>
  <c r="F298" i="2" s="1"/>
  <c r="E299" i="2"/>
  <c r="F299" i="2" s="1"/>
  <c r="E300" i="2"/>
  <c r="F300" i="2" s="1"/>
  <c r="E301" i="2"/>
  <c r="F301" i="2"/>
  <c r="E302" i="2"/>
  <c r="F302" i="2"/>
  <c r="E303" i="2"/>
  <c r="F303" i="2"/>
  <c r="E304" i="2"/>
  <c r="F304" i="2"/>
  <c r="E305" i="2"/>
  <c r="F305" i="2"/>
  <c r="E306" i="2"/>
  <c r="F306" i="2" s="1"/>
  <c r="E307" i="2"/>
  <c r="F307" i="2" s="1"/>
  <c r="E308" i="2"/>
  <c r="F308" i="2" s="1"/>
  <c r="E309" i="2"/>
  <c r="F309" i="2" s="1"/>
  <c r="E310" i="2"/>
  <c r="F310" i="2" s="1"/>
  <c r="E311" i="2"/>
  <c r="F311" i="2"/>
  <c r="E312" i="2"/>
  <c r="F312" i="2"/>
  <c r="E313" i="2"/>
  <c r="F313" i="2"/>
  <c r="E314" i="2"/>
  <c r="F314" i="2"/>
  <c r="E315" i="2"/>
  <c r="F315" i="2"/>
  <c r="E316" i="2"/>
  <c r="F316" i="2" s="1"/>
  <c r="E317" i="2"/>
  <c r="F317" i="2" s="1"/>
  <c r="E318" i="2"/>
  <c r="F318" i="2"/>
  <c r="E319" i="2"/>
  <c r="F319" i="2" s="1"/>
  <c r="E320" i="2"/>
  <c r="F320" i="2" s="1"/>
  <c r="E321" i="2"/>
  <c r="F321" i="2"/>
  <c r="E322" i="2"/>
  <c r="F322" i="2"/>
  <c r="E323" i="2"/>
  <c r="F323" i="2"/>
  <c r="E324" i="2"/>
  <c r="F324" i="2"/>
  <c r="E325" i="2"/>
  <c r="F325" i="2" s="1"/>
  <c r="E326" i="2"/>
  <c r="F326" i="2" s="1"/>
  <c r="E327" i="2"/>
  <c r="F327" i="2" s="1"/>
  <c r="E328" i="2"/>
  <c r="F328" i="2" s="1"/>
  <c r="E329" i="2"/>
  <c r="F329" i="2" s="1"/>
  <c r="E330" i="2"/>
  <c r="F330" i="2" s="1"/>
  <c r="E331" i="2"/>
  <c r="F331" i="2"/>
  <c r="E332" i="2"/>
  <c r="F332" i="2"/>
  <c r="E333" i="2"/>
  <c r="F333" i="2"/>
  <c r="E334" i="2"/>
  <c r="F334" i="2" s="1"/>
  <c r="E335" i="2"/>
  <c r="F335" i="2" s="1"/>
  <c r="E336" i="2"/>
  <c r="F336" i="2"/>
  <c r="E337" i="2"/>
  <c r="F337" i="2" s="1"/>
  <c r="E338" i="2"/>
  <c r="F338" i="2" s="1"/>
  <c r="E339" i="2"/>
  <c r="F339" i="2" s="1"/>
  <c r="E340" i="2"/>
  <c r="F340" i="2" s="1"/>
  <c r="E341" i="2"/>
  <c r="F341" i="2"/>
  <c r="E342" i="2"/>
  <c r="F342" i="2"/>
  <c r="E343" i="2"/>
  <c r="F343" i="2" s="1"/>
  <c r="E344" i="2"/>
  <c r="F344" i="2" s="1"/>
  <c r="E345" i="2"/>
  <c r="F345" i="2"/>
  <c r="E346" i="2"/>
  <c r="F346" i="2"/>
  <c r="E347" i="2"/>
  <c r="F347" i="2" s="1"/>
  <c r="E348" i="2"/>
  <c r="F348" i="2" s="1"/>
  <c r="E349" i="2"/>
  <c r="F349" i="2" s="1"/>
  <c r="E350" i="2"/>
  <c r="F350" i="2" s="1"/>
  <c r="E351" i="2"/>
  <c r="F351" i="2"/>
  <c r="E352" i="2"/>
  <c r="F352" i="2" s="1"/>
  <c r="E353" i="2"/>
  <c r="F353" i="2" s="1"/>
  <c r="E354" i="2"/>
  <c r="F354" i="2"/>
  <c r="E355" i="2"/>
  <c r="F355" i="2"/>
  <c r="E356" i="2"/>
  <c r="F356" i="2"/>
  <c r="E357" i="2"/>
  <c r="F357" i="2" s="1"/>
  <c r="E358" i="2"/>
  <c r="F358" i="2" s="1"/>
  <c r="E359" i="2"/>
  <c r="F359" i="2" s="1"/>
  <c r="E360" i="2"/>
  <c r="F360" i="2" s="1"/>
  <c r="E361" i="2"/>
  <c r="F361" i="2" s="1"/>
  <c r="E362" i="2"/>
  <c r="F362" i="2" s="1"/>
  <c r="E363" i="2"/>
  <c r="F363" i="2"/>
  <c r="E364" i="2"/>
  <c r="F364" i="2"/>
  <c r="E365" i="2"/>
  <c r="F365" i="2"/>
  <c r="E366" i="2"/>
  <c r="F366" i="2"/>
  <c r="E367" i="2"/>
  <c r="F367" i="2" s="1"/>
  <c r="E368" i="2"/>
  <c r="F368" i="2" s="1"/>
  <c r="E369" i="2"/>
  <c r="F369" i="2" s="1"/>
  <c r="E370" i="2"/>
  <c r="F370" i="2" s="1"/>
  <c r="E371" i="2"/>
  <c r="F371" i="2" s="1"/>
  <c r="E372" i="2"/>
  <c r="F372" i="2"/>
  <c r="E373" i="2"/>
  <c r="F373" i="2"/>
  <c r="E374" i="2"/>
  <c r="F374" i="2"/>
  <c r="E375" i="2"/>
  <c r="F375" i="2"/>
  <c r="E376" i="2"/>
  <c r="F376" i="2"/>
  <c r="E377" i="2"/>
  <c r="F377" i="2" s="1"/>
  <c r="E378" i="2"/>
  <c r="F378" i="2" s="1"/>
  <c r="E379" i="2"/>
  <c r="F379" i="2" s="1"/>
  <c r="E380" i="2"/>
  <c r="F380" i="2" s="1"/>
  <c r="E381" i="2"/>
  <c r="F381" i="2" s="1"/>
  <c r="E382" i="2"/>
  <c r="F382" i="2"/>
  <c r="E383" i="2"/>
  <c r="F383" i="2"/>
  <c r="E384" i="2"/>
  <c r="F384" i="2"/>
  <c r="E385" i="2"/>
  <c r="F385" i="2"/>
  <c r="E386" i="2"/>
  <c r="F386" i="2"/>
  <c r="E387" i="2"/>
  <c r="F387" i="2" s="1"/>
  <c r="E388" i="2"/>
  <c r="F388" i="2" s="1"/>
  <c r="E389" i="2"/>
  <c r="F389" i="2" s="1"/>
  <c r="E390" i="2"/>
  <c r="F390" i="2" s="1"/>
  <c r="E391" i="2"/>
  <c r="F391" i="2" s="1"/>
  <c r="E392" i="2"/>
  <c r="F392" i="2"/>
  <c r="E393" i="2"/>
  <c r="F393" i="2" s="1"/>
  <c r="E394" i="2"/>
  <c r="F394" i="2"/>
  <c r="E395" i="2"/>
  <c r="F395" i="2"/>
  <c r="E396" i="2"/>
  <c r="F396" i="2"/>
  <c r="E397" i="2"/>
  <c r="F397" i="2" s="1"/>
  <c r="E398" i="2"/>
  <c r="F398" i="2" s="1"/>
  <c r="E399" i="2"/>
  <c r="F399" i="2" s="1"/>
  <c r="E400" i="2"/>
  <c r="F400" i="2" s="1"/>
  <c r="E401" i="2"/>
  <c r="F401" i="2" s="1"/>
  <c r="E402" i="2"/>
  <c r="F402" i="2"/>
  <c r="E403" i="2"/>
  <c r="F403" i="2" s="1"/>
  <c r="E404" i="2"/>
  <c r="F404" i="2"/>
  <c r="E405" i="2"/>
  <c r="F405" i="2"/>
  <c r="E406" i="2"/>
  <c r="F406" i="2" s="1"/>
  <c r="E407" i="2"/>
  <c r="F407" i="2" s="1"/>
  <c r="E408" i="2"/>
  <c r="F408" i="2" s="1"/>
  <c r="E409" i="2"/>
  <c r="F409" i="2" s="1"/>
  <c r="E410" i="2"/>
  <c r="F410" i="2" s="1"/>
  <c r="E411" i="2"/>
  <c r="F411" i="2" s="1"/>
  <c r="E412" i="2"/>
  <c r="F412" i="2"/>
  <c r="E413" i="2"/>
  <c r="F413" i="2" s="1"/>
  <c r="E414" i="2"/>
  <c r="F414" i="2"/>
  <c r="E415" i="2"/>
  <c r="F415" i="2" s="1"/>
  <c r="E416" i="2"/>
  <c r="F416" i="2" s="1"/>
  <c r="E417" i="2"/>
  <c r="F417" i="2"/>
  <c r="E418" i="2"/>
  <c r="F418" i="2" s="1"/>
  <c r="E419" i="2"/>
  <c r="F419" i="2" s="1"/>
  <c r="E420" i="2"/>
  <c r="F420" i="2" s="1"/>
  <c r="E421" i="2"/>
  <c r="F421" i="2" s="1"/>
  <c r="E422" i="2"/>
  <c r="F422" i="2"/>
  <c r="E423" i="2"/>
  <c r="F423" i="2" s="1"/>
  <c r="E424" i="2"/>
  <c r="F424" i="2" s="1"/>
  <c r="E425" i="2"/>
  <c r="F425" i="2" s="1"/>
  <c r="E426" i="2"/>
  <c r="F426" i="2"/>
  <c r="E427" i="2"/>
  <c r="F427" i="2"/>
  <c r="E428" i="2"/>
  <c r="F428" i="2" s="1"/>
  <c r="E429" i="2"/>
  <c r="F429" i="2" s="1"/>
  <c r="E430" i="2"/>
  <c r="F430" i="2" s="1"/>
  <c r="E431" i="2"/>
  <c r="F431" i="2" s="1"/>
  <c r="E432" i="2"/>
  <c r="F432" i="2"/>
  <c r="E433" i="2"/>
  <c r="F433" i="2" s="1"/>
  <c r="E434" i="2"/>
  <c r="F434" i="2" s="1"/>
  <c r="E435" i="2"/>
  <c r="F435" i="2"/>
  <c r="E436" i="2"/>
  <c r="F436" i="2"/>
  <c r="E437" i="2"/>
  <c r="F437" i="2"/>
  <c r="E438" i="2"/>
  <c r="F438" i="2" s="1"/>
  <c r="E439" i="2"/>
  <c r="F439" i="2" s="1"/>
  <c r="E440" i="2"/>
  <c r="F440" i="2" s="1"/>
  <c r="E441" i="2"/>
  <c r="F441" i="2" s="1"/>
  <c r="E442" i="2"/>
  <c r="F442" i="2" s="1"/>
  <c r="E443" i="2"/>
  <c r="F443" i="2" s="1"/>
  <c r="E444" i="2"/>
  <c r="F444" i="2" s="1"/>
  <c r="E445" i="2"/>
  <c r="F445" i="2"/>
  <c r="E446" i="2"/>
  <c r="F446" i="2"/>
  <c r="E447" i="2"/>
  <c r="F447" i="2"/>
  <c r="E448" i="2"/>
  <c r="F448" i="2" s="1"/>
  <c r="E449" i="2"/>
  <c r="F449" i="2" s="1"/>
  <c r="E450" i="2"/>
  <c r="F450" i="2" s="1"/>
  <c r="E451" i="2"/>
  <c r="F451" i="2" s="1"/>
  <c r="E452" i="2"/>
  <c r="F452" i="2" s="1"/>
  <c r="E453" i="2"/>
  <c r="F453" i="2"/>
  <c r="E454" i="2"/>
  <c r="F454" i="2" s="1"/>
  <c r="E455" i="2"/>
  <c r="F455" i="2"/>
  <c r="E456" i="2"/>
  <c r="F456" i="2"/>
  <c r="E457" i="2"/>
  <c r="F457" i="2"/>
  <c r="E458" i="2"/>
  <c r="F458" i="2" s="1"/>
  <c r="E459" i="2"/>
  <c r="F459" i="2" s="1"/>
  <c r="E460" i="2"/>
  <c r="F460" i="2" s="1"/>
  <c r="E461" i="2"/>
  <c r="F461" i="2"/>
  <c r="E462" i="2"/>
  <c r="F462" i="2"/>
  <c r="E463" i="2"/>
  <c r="F463" i="2" s="1"/>
  <c r="E464" i="2"/>
  <c r="F464" i="2"/>
  <c r="E465" i="2"/>
  <c r="F465" i="2"/>
  <c r="E466" i="2"/>
  <c r="F466" i="2"/>
  <c r="E467" i="2"/>
  <c r="F467" i="2" s="1"/>
  <c r="E468" i="2"/>
  <c r="F468" i="2"/>
  <c r="E469" i="2"/>
  <c r="F469" i="2" s="1"/>
  <c r="E470" i="2"/>
  <c r="F470" i="2" s="1"/>
  <c r="E471" i="2"/>
  <c r="F471" i="2" s="1"/>
  <c r="E472" i="2"/>
  <c r="F472" i="2"/>
  <c r="E473" i="2"/>
  <c r="F473" i="2" s="1"/>
  <c r="E474" i="2"/>
  <c r="F474" i="2"/>
  <c r="E475" i="2"/>
  <c r="F475" i="2"/>
  <c r="E476" i="2"/>
  <c r="F476" i="2"/>
  <c r="E477" i="2"/>
  <c r="F477" i="2" s="1"/>
  <c r="E478" i="2"/>
  <c r="F478" i="2" s="1"/>
  <c r="E479" i="2"/>
  <c r="F479" i="2"/>
  <c r="E480" i="2"/>
  <c r="F480" i="2"/>
  <c r="E481" i="2"/>
  <c r="F481" i="2"/>
  <c r="E482" i="2"/>
  <c r="F482" i="2" s="1"/>
  <c r="E483" i="2"/>
  <c r="F483" i="2"/>
  <c r="E484" i="2"/>
  <c r="F484" i="2"/>
  <c r="E485" i="2"/>
  <c r="F485" i="2"/>
  <c r="E486" i="2"/>
  <c r="F486" i="2" s="1"/>
  <c r="E487" i="2"/>
  <c r="F487" i="2" s="1"/>
  <c r="E488" i="2"/>
  <c r="F488" i="2" s="1"/>
  <c r="E489" i="2"/>
  <c r="F489" i="2" s="1"/>
  <c r="E490" i="2"/>
  <c r="F490" i="2" s="1"/>
  <c r="E491" i="2"/>
  <c r="F491" i="2"/>
  <c r="E492" i="2"/>
  <c r="F492" i="2" s="1"/>
  <c r="E493" i="2"/>
  <c r="F493" i="2"/>
  <c r="E494" i="2"/>
  <c r="F494" i="2"/>
  <c r="E495" i="2"/>
  <c r="F495" i="2"/>
  <c r="E496" i="2"/>
  <c r="F496" i="2" s="1"/>
  <c r="E497" i="2"/>
  <c r="F497" i="2"/>
  <c r="E498" i="2"/>
  <c r="F498" i="2"/>
  <c r="E499" i="2"/>
  <c r="F499" i="2"/>
  <c r="E500" i="2"/>
  <c r="F500" i="2"/>
  <c r="E501" i="2"/>
  <c r="F501" i="2" s="1"/>
  <c r="E502" i="2"/>
  <c r="F502" i="2"/>
  <c r="E503" i="2"/>
  <c r="F503" i="2"/>
  <c r="E504" i="2"/>
  <c r="F504" i="2"/>
  <c r="E505" i="2"/>
  <c r="F505" i="2" s="1"/>
  <c r="E506" i="2"/>
  <c r="F506" i="2" s="1"/>
  <c r="E507" i="2"/>
  <c r="F507" i="2" s="1"/>
  <c r="E508" i="2"/>
  <c r="F508" i="2" s="1"/>
  <c r="E509" i="2"/>
  <c r="F509" i="2" s="1"/>
  <c r="E510" i="2"/>
  <c r="F510" i="2"/>
  <c r="E511" i="2"/>
  <c r="F511" i="2" s="1"/>
  <c r="E512" i="2"/>
  <c r="F512" i="2"/>
  <c r="E513" i="2"/>
  <c r="F513" i="2"/>
  <c r="E514" i="2"/>
  <c r="F514" i="2" s="1"/>
  <c r="E515" i="2"/>
  <c r="F515" i="2" s="1"/>
  <c r="E516" i="2"/>
  <c r="F516" i="2"/>
  <c r="E517" i="2"/>
  <c r="F517" i="2"/>
  <c r="E518" i="2"/>
  <c r="F518" i="2"/>
  <c r="E519" i="2"/>
  <c r="F519" i="2"/>
  <c r="E520" i="2"/>
  <c r="F520" i="2" s="1"/>
  <c r="E521" i="2"/>
  <c r="F521" i="2"/>
  <c r="E522" i="2"/>
  <c r="F522" i="2"/>
  <c r="E523" i="2"/>
  <c r="F523" i="2" s="1"/>
  <c r="E524" i="2"/>
  <c r="F524" i="2"/>
  <c r="E525" i="2"/>
  <c r="F525" i="2" s="1"/>
  <c r="E526" i="2"/>
  <c r="F526" i="2" s="1"/>
  <c r="E527" i="2"/>
  <c r="F527" i="2" s="1"/>
  <c r="E528" i="2"/>
  <c r="F528" i="2" s="1"/>
  <c r="E529" i="2"/>
  <c r="F529" i="2"/>
  <c r="E530" i="2"/>
  <c r="F530" i="2" s="1"/>
  <c r="E531" i="2"/>
  <c r="F531" i="2"/>
  <c r="E532" i="2"/>
  <c r="F532" i="2" s="1"/>
  <c r="E533" i="2"/>
  <c r="F533" i="2"/>
  <c r="E534" i="2"/>
  <c r="F534" i="2" s="1"/>
  <c r="E535" i="2"/>
  <c r="F535" i="2"/>
  <c r="E536" i="2"/>
  <c r="F536" i="2"/>
  <c r="E537" i="2"/>
  <c r="F537" i="2"/>
  <c r="E538" i="2"/>
  <c r="F538" i="2"/>
  <c r="E539" i="2"/>
  <c r="F539" i="2" s="1"/>
  <c r="E540" i="2"/>
  <c r="F540" i="2"/>
  <c r="E541" i="2"/>
  <c r="F541" i="2" s="1"/>
  <c r="E542" i="2"/>
  <c r="F542" i="2"/>
  <c r="E543" i="2"/>
  <c r="F543" i="2"/>
  <c r="E544" i="2"/>
  <c r="F544" i="2" s="1"/>
  <c r="E545" i="2"/>
  <c r="F545" i="2" s="1"/>
  <c r="E546" i="2"/>
  <c r="F546" i="2" s="1"/>
  <c r="E547" i="2"/>
  <c r="F547" i="2" s="1"/>
  <c r="E548" i="2"/>
  <c r="F548" i="2"/>
  <c r="E549" i="2"/>
  <c r="F549" i="2" s="1"/>
  <c r="E550" i="2"/>
  <c r="F550" i="2" s="1"/>
  <c r="E551" i="2"/>
  <c r="F551" i="2"/>
  <c r="E552" i="2"/>
  <c r="F552" i="2"/>
  <c r="E553" i="2"/>
  <c r="F553" i="2" s="1"/>
  <c r="E554" i="2"/>
  <c r="F554" i="2"/>
  <c r="E555" i="2"/>
  <c r="F555" i="2"/>
  <c r="E556" i="2"/>
  <c r="F556" i="2"/>
  <c r="E557" i="2"/>
  <c r="F557" i="2"/>
  <c r="E558" i="2"/>
  <c r="F558" i="2" s="1"/>
  <c r="E559" i="2"/>
  <c r="F559" i="2" s="1"/>
  <c r="E560" i="2"/>
  <c r="F560" i="2"/>
  <c r="E561" i="2"/>
  <c r="F561" i="2"/>
  <c r="E562" i="2"/>
  <c r="F562" i="2"/>
  <c r="E563" i="2"/>
  <c r="F563" i="2" s="1"/>
  <c r="E564" i="2"/>
  <c r="F564" i="2" s="1"/>
  <c r="E565" i="2"/>
  <c r="F565" i="2" s="1"/>
  <c r="E566" i="2"/>
  <c r="F566" i="2" s="1"/>
  <c r="E567" i="2"/>
  <c r="F567" i="2"/>
  <c r="E568" i="2"/>
  <c r="F568" i="2" s="1"/>
  <c r="E569" i="2"/>
  <c r="F569" i="2"/>
  <c r="E570" i="2"/>
  <c r="F570" i="2"/>
  <c r="E571" i="2"/>
  <c r="F571" i="2"/>
  <c r="E572" i="2"/>
  <c r="F572" i="2" s="1"/>
  <c r="E573" i="2"/>
  <c r="F573" i="2"/>
  <c r="E574" i="2"/>
  <c r="F574" i="2"/>
  <c r="E575" i="2"/>
  <c r="F575" i="2"/>
  <c r="E576" i="2"/>
  <c r="F576" i="2"/>
  <c r="E577" i="2"/>
  <c r="F577" i="2" s="1"/>
  <c r="E578" i="2"/>
  <c r="F578" i="2" s="1"/>
  <c r="E579" i="2"/>
  <c r="F579" i="2"/>
  <c r="E580" i="2"/>
  <c r="F580" i="2"/>
  <c r="E581" i="2"/>
  <c r="F581" i="2"/>
  <c r="E582" i="2"/>
  <c r="F582" i="2" s="1"/>
  <c r="E583" i="2"/>
  <c r="F583" i="2" s="1"/>
  <c r="E584" i="2"/>
  <c r="F584" i="2" s="1"/>
  <c r="E585" i="2"/>
  <c r="F585" i="2" s="1"/>
  <c r="E586" i="2"/>
  <c r="F586" i="2" s="1"/>
  <c r="E587" i="2"/>
  <c r="F587" i="2" s="1"/>
  <c r="E588" i="2"/>
  <c r="F588" i="2"/>
  <c r="E589" i="2"/>
  <c r="F589" i="2"/>
  <c r="E590" i="2"/>
  <c r="F590" i="2"/>
  <c r="E591" i="2"/>
  <c r="F591" i="2" s="1"/>
  <c r="E592" i="2"/>
  <c r="F592" i="2"/>
  <c r="E593" i="2"/>
  <c r="F593" i="2"/>
  <c r="E594" i="2"/>
  <c r="F594" i="2"/>
  <c r="E595" i="2"/>
  <c r="F595" i="2" s="1"/>
  <c r="E596" i="2"/>
  <c r="F596" i="2"/>
  <c r="E597" i="2"/>
  <c r="F597" i="2" s="1"/>
  <c r="E598" i="2"/>
  <c r="F598" i="2"/>
  <c r="E599" i="2"/>
  <c r="F599" i="2"/>
  <c r="E600" i="2"/>
  <c r="F600" i="2"/>
  <c r="E601" i="2"/>
  <c r="F601" i="2" s="1"/>
  <c r="E602" i="2"/>
  <c r="F602" i="2" s="1"/>
  <c r="E603" i="2"/>
  <c r="F603" i="2" s="1"/>
  <c r="E604" i="2"/>
  <c r="F604" i="2" s="1"/>
  <c r="E605" i="2"/>
  <c r="F605" i="2"/>
  <c r="E606" i="2"/>
  <c r="F606" i="2" s="1"/>
  <c r="E607" i="2"/>
  <c r="F607" i="2"/>
  <c r="E608" i="2"/>
  <c r="F608" i="2"/>
  <c r="E609" i="2"/>
  <c r="F609" i="2"/>
  <c r="E610" i="2"/>
  <c r="F610" i="2" s="1"/>
  <c r="E611" i="2"/>
  <c r="F611" i="2"/>
  <c r="E612" i="2"/>
  <c r="F612" i="2"/>
  <c r="E613" i="2"/>
  <c r="F613" i="2" s="1"/>
  <c r="E614" i="2"/>
  <c r="F614" i="2" s="1"/>
  <c r="E615" i="2"/>
  <c r="F615" i="2"/>
  <c r="E616" i="2"/>
  <c r="F616" i="2" s="1"/>
  <c r="E617" i="2"/>
  <c r="F617" i="2"/>
  <c r="E618" i="2"/>
  <c r="F618" i="2"/>
  <c r="E619" i="2"/>
  <c r="F619" i="2" s="1"/>
  <c r="E620" i="2"/>
  <c r="F620" i="2" s="1"/>
  <c r="E621" i="2"/>
  <c r="F621" i="2" s="1"/>
  <c r="E622" i="2"/>
  <c r="F622" i="2" s="1"/>
  <c r="E623" i="2"/>
  <c r="F623" i="2"/>
  <c r="E624" i="2"/>
  <c r="F624" i="2"/>
  <c r="E625" i="2"/>
  <c r="F625" i="2" s="1"/>
  <c r="E626" i="2"/>
  <c r="F626" i="2"/>
  <c r="E627" i="2"/>
  <c r="F627" i="2"/>
  <c r="E628" i="2"/>
  <c r="F628" i="2"/>
  <c r="E629" i="2"/>
  <c r="F629" i="2" s="1"/>
  <c r="E630" i="2"/>
  <c r="F630" i="2"/>
  <c r="E631" i="2"/>
  <c r="F631" i="2" s="1"/>
  <c r="E632" i="2"/>
  <c r="F632" i="2" s="1"/>
  <c r="E633" i="2"/>
  <c r="F633" i="2" s="1"/>
  <c r="E634" i="2"/>
  <c r="F634" i="2"/>
  <c r="E635" i="2"/>
  <c r="F635" i="2" s="1"/>
  <c r="E636" i="2"/>
  <c r="F636" i="2"/>
  <c r="E637" i="2"/>
  <c r="F637" i="2"/>
  <c r="E638" i="2"/>
  <c r="F638" i="2"/>
  <c r="E639" i="2"/>
  <c r="F639" i="2" s="1"/>
  <c r="E640" i="2"/>
  <c r="F640" i="2" s="1"/>
  <c r="E641" i="2"/>
  <c r="F641" i="2"/>
  <c r="E642" i="2"/>
  <c r="F642" i="2"/>
  <c r="E643" i="2"/>
  <c r="F643" i="2"/>
  <c r="E644" i="2"/>
  <c r="F644" i="2" s="1"/>
  <c r="E645" i="2"/>
  <c r="F645" i="2"/>
  <c r="E646" i="2"/>
  <c r="F646" i="2"/>
  <c r="E647" i="2"/>
  <c r="F647" i="2"/>
  <c r="E648" i="2"/>
  <c r="F648" i="2" s="1"/>
  <c r="E649" i="2"/>
  <c r="F649" i="2" s="1"/>
  <c r="E650" i="2"/>
  <c r="F650" i="2"/>
  <c r="E651" i="2"/>
  <c r="F651" i="2" s="1"/>
  <c r="E652" i="2"/>
  <c r="F652" i="2" s="1"/>
  <c r="E653" i="2"/>
  <c r="F653" i="2"/>
  <c r="E654" i="2"/>
  <c r="F654" i="2" s="1"/>
  <c r="E655" i="2"/>
  <c r="F655" i="2"/>
  <c r="E656" i="2"/>
  <c r="F656" i="2"/>
  <c r="E657" i="2"/>
  <c r="F657" i="2"/>
  <c r="E658" i="2"/>
  <c r="F658" i="2" s="1"/>
  <c r="E659" i="2"/>
  <c r="F659" i="2"/>
  <c r="E660" i="2"/>
  <c r="F660" i="2"/>
  <c r="E661" i="2"/>
  <c r="F661" i="2"/>
  <c r="E662" i="2"/>
  <c r="F662" i="2"/>
  <c r="E663" i="2"/>
  <c r="F663" i="2" s="1"/>
  <c r="E664" i="2"/>
  <c r="F664" i="2"/>
  <c r="E665" i="2"/>
  <c r="F665" i="2"/>
  <c r="E666" i="2"/>
  <c r="F666" i="2"/>
  <c r="E667" i="2"/>
  <c r="F667" i="2" s="1"/>
  <c r="E668" i="2"/>
  <c r="F668" i="2" s="1"/>
  <c r="E669" i="2"/>
  <c r="F669" i="2"/>
  <c r="E670" i="2"/>
  <c r="F670" i="2" s="1"/>
  <c r="E671" i="2"/>
  <c r="F671" i="2" s="1"/>
  <c r="E672" i="2"/>
  <c r="F672" i="2"/>
  <c r="E673" i="2"/>
  <c r="F673" i="2" s="1"/>
  <c r="E674" i="2"/>
  <c r="F674" i="2"/>
  <c r="E675" i="2"/>
  <c r="F675" i="2"/>
  <c r="E676" i="2"/>
  <c r="F676" i="2" s="1"/>
  <c r="E677" i="2"/>
  <c r="F677" i="2" s="1"/>
  <c r="E678" i="2"/>
  <c r="F678" i="2"/>
  <c r="E679" i="2"/>
  <c r="F679" i="2"/>
  <c r="E680" i="2"/>
  <c r="F680" i="2"/>
  <c r="E681" i="2"/>
  <c r="F681" i="2"/>
  <c r="E682" i="2"/>
  <c r="F682" i="2" s="1"/>
  <c r="E683" i="2"/>
  <c r="F683" i="2"/>
  <c r="E684" i="2"/>
  <c r="F684" i="2"/>
  <c r="E685" i="2"/>
  <c r="F685" i="2" s="1"/>
  <c r="E686" i="2"/>
  <c r="F686" i="2"/>
  <c r="E687" i="2"/>
  <c r="F687" i="2" s="1"/>
  <c r="E688" i="2"/>
  <c r="F688" i="2"/>
  <c r="E689" i="2"/>
  <c r="F689" i="2" s="1"/>
  <c r="E690" i="2"/>
  <c r="F690" i="2" s="1"/>
  <c r="E691" i="2"/>
  <c r="F691" i="2"/>
  <c r="E692" i="2"/>
  <c r="F692" i="2" s="1"/>
  <c r="E693" i="2"/>
  <c r="F693" i="2"/>
  <c r="E694" i="2"/>
  <c r="F694" i="2" s="1"/>
  <c r="E695" i="2"/>
  <c r="F695" i="2"/>
  <c r="E696" i="2"/>
  <c r="F696" i="2" s="1"/>
  <c r="E697" i="2"/>
  <c r="F697" i="2"/>
  <c r="E698" i="2"/>
  <c r="F698" i="2"/>
  <c r="E699" i="2"/>
  <c r="F699" i="2"/>
  <c r="E700" i="2"/>
  <c r="F700" i="2"/>
  <c r="E701" i="2"/>
  <c r="F701" i="2" s="1"/>
  <c r="E702" i="2"/>
  <c r="F702" i="2"/>
  <c r="E703" i="2"/>
  <c r="F703" i="2" s="1"/>
  <c r="E704" i="2"/>
  <c r="F704" i="2"/>
  <c r="E705" i="2"/>
  <c r="F705" i="2"/>
  <c r="E706" i="2"/>
  <c r="F706" i="2" s="1"/>
  <c r="E707" i="2"/>
  <c r="F707" i="2"/>
  <c r="E708" i="2"/>
  <c r="F708" i="2" s="1"/>
  <c r="E709" i="2"/>
  <c r="F709" i="2" s="1"/>
  <c r="E710" i="2"/>
  <c r="F710" i="2"/>
  <c r="E711" i="2"/>
  <c r="F711" i="2" s="1"/>
  <c r="E712" i="2"/>
  <c r="F712" i="2" s="1"/>
  <c r="E713" i="2"/>
  <c r="F713" i="2"/>
  <c r="E714" i="2"/>
  <c r="F714" i="2"/>
  <c r="E715" i="2"/>
  <c r="F715" i="2" s="1"/>
  <c r="E716" i="2"/>
  <c r="F716" i="2"/>
  <c r="E717" i="2"/>
  <c r="F717" i="2"/>
  <c r="E718" i="2"/>
  <c r="F718" i="2"/>
  <c r="E719" i="2"/>
  <c r="F719" i="2"/>
  <c r="E720" i="2"/>
  <c r="F720" i="2" s="1"/>
  <c r="E721" i="2"/>
  <c r="F721" i="2" s="1"/>
  <c r="E722" i="2"/>
  <c r="F722" i="2"/>
  <c r="E723" i="2"/>
  <c r="F723" i="2"/>
  <c r="E724" i="2"/>
  <c r="F724" i="2"/>
  <c r="E725" i="2"/>
  <c r="F725" i="2" s="1"/>
  <c r="E726" i="2"/>
  <c r="F726" i="2"/>
  <c r="E727" i="2"/>
  <c r="F727" i="2" s="1"/>
  <c r="E728" i="2"/>
  <c r="F728" i="2" s="1"/>
  <c r="E729" i="2"/>
  <c r="F729" i="2"/>
  <c r="E730" i="2"/>
  <c r="F730" i="2" s="1"/>
  <c r="E731" i="2"/>
  <c r="F731" i="2"/>
  <c r="E732" i="2"/>
  <c r="F732" i="2"/>
  <c r="E733" i="2"/>
  <c r="F733" i="2"/>
  <c r="E734" i="2"/>
  <c r="F734" i="2" s="1"/>
  <c r="E735" i="2"/>
  <c r="F735" i="2"/>
  <c r="E736" i="2"/>
  <c r="F736" i="2"/>
  <c r="E737" i="2"/>
  <c r="F737" i="2"/>
  <c r="E738" i="2"/>
  <c r="F738" i="2"/>
  <c r="E739" i="2"/>
  <c r="F739" i="2" s="1"/>
  <c r="E740" i="2"/>
  <c r="F740" i="2" s="1"/>
  <c r="E741" i="2"/>
  <c r="F741" i="2"/>
  <c r="E742" i="2"/>
  <c r="F742" i="2"/>
  <c r="E743" i="2"/>
  <c r="F743" i="2"/>
  <c r="E744" i="2"/>
  <c r="F744" i="2" s="1"/>
  <c r="E745" i="2"/>
  <c r="F745" i="2"/>
  <c r="E746" i="2"/>
  <c r="F746" i="2" s="1"/>
  <c r="E747" i="2"/>
  <c r="F747" i="2" s="1"/>
  <c r="E748" i="2"/>
  <c r="F748" i="2" s="1"/>
  <c r="E749" i="2"/>
  <c r="F749" i="2" s="1"/>
  <c r="E750" i="2"/>
  <c r="F750" i="2"/>
  <c r="E751" i="2"/>
  <c r="F751" i="2"/>
  <c r="E752" i="2"/>
  <c r="F752" i="2"/>
  <c r="E753" i="2"/>
  <c r="F753" i="2" s="1"/>
  <c r="E754" i="2"/>
  <c r="F754" i="2"/>
  <c r="E755" i="2"/>
  <c r="F755" i="2"/>
  <c r="E756" i="2"/>
  <c r="F756" i="2"/>
  <c r="E757" i="2"/>
  <c r="F757" i="2" s="1"/>
  <c r="E758" i="2"/>
  <c r="F758" i="2"/>
  <c r="E759" i="2"/>
  <c r="F759" i="2" s="1"/>
  <c r="E760" i="2"/>
  <c r="F760" i="2"/>
  <c r="E761" i="2"/>
  <c r="F761" i="2"/>
  <c r="E762" i="2"/>
  <c r="F762" i="2"/>
  <c r="E763" i="2"/>
  <c r="F763" i="2" s="1"/>
  <c r="E764" i="2"/>
  <c r="F764" i="2"/>
  <c r="E765" i="2"/>
  <c r="F765" i="2" s="1"/>
  <c r="E766" i="2"/>
  <c r="F766" i="2" s="1"/>
  <c r="E767" i="2"/>
  <c r="F767" i="2"/>
  <c r="E768" i="2"/>
  <c r="F768" i="2" s="1"/>
  <c r="E769" i="2"/>
  <c r="F769" i="2"/>
  <c r="E770" i="2"/>
  <c r="F770" i="2"/>
  <c r="E771" i="2"/>
  <c r="F771" i="2"/>
  <c r="E772" i="2"/>
  <c r="F772" i="2" s="1"/>
  <c r="E773" i="2"/>
  <c r="F773" i="2"/>
  <c r="E774" i="2"/>
  <c r="F774" i="2"/>
  <c r="E775" i="2"/>
  <c r="F775" i="2" s="1"/>
  <c r="E776" i="2"/>
  <c r="F776" i="2" s="1"/>
  <c r="E777" i="2"/>
  <c r="F777" i="2"/>
  <c r="E778" i="2"/>
  <c r="F778" i="2" s="1"/>
  <c r="E779" i="2"/>
  <c r="F779" i="2"/>
  <c r="E780" i="2"/>
  <c r="F780" i="2"/>
  <c r="E781" i="2"/>
  <c r="F781" i="2"/>
  <c r="E782" i="2"/>
  <c r="F782" i="2" s="1"/>
  <c r="E783" i="2"/>
  <c r="F783" i="2"/>
  <c r="E784" i="2"/>
  <c r="F784" i="2" s="1"/>
  <c r="E785" i="2"/>
  <c r="F785" i="2"/>
  <c r="E786" i="2"/>
  <c r="F786" i="2"/>
  <c r="E787" i="2"/>
  <c r="F787" i="2" s="1"/>
  <c r="E788" i="2"/>
  <c r="F788" i="2"/>
  <c r="E789" i="2"/>
  <c r="F789" i="2"/>
  <c r="E790" i="2"/>
  <c r="F790" i="2"/>
  <c r="E791" i="2"/>
  <c r="F791" i="2" s="1"/>
  <c r="E792" i="2"/>
  <c r="F792" i="2"/>
  <c r="E793" i="2"/>
  <c r="F793" i="2" s="1"/>
  <c r="E794" i="2"/>
  <c r="F794" i="2" s="1"/>
  <c r="E795" i="2"/>
  <c r="F795" i="2" s="1"/>
  <c r="E796" i="2"/>
  <c r="F796" i="2"/>
  <c r="E797" i="2"/>
  <c r="F797" i="2" s="1"/>
  <c r="E798" i="2"/>
  <c r="F798" i="2"/>
  <c r="E799" i="2"/>
  <c r="F799" i="2"/>
  <c r="E800" i="2"/>
  <c r="F800" i="2"/>
  <c r="E801" i="2"/>
  <c r="F801" i="2" s="1"/>
  <c r="E802" i="2"/>
  <c r="F802" i="2" s="1"/>
  <c r="E803" i="2"/>
  <c r="F803" i="2"/>
  <c r="E804" i="2"/>
  <c r="F804" i="2"/>
  <c r="E805" i="2"/>
  <c r="F805" i="2"/>
  <c r="E806" i="2"/>
  <c r="F806" i="2" s="1"/>
  <c r="E807" i="2"/>
  <c r="F807" i="2"/>
  <c r="E808" i="2"/>
  <c r="F808" i="2"/>
  <c r="E809" i="2"/>
  <c r="F809" i="2"/>
  <c r="E810" i="2"/>
  <c r="F810" i="2" s="1"/>
  <c r="E811" i="2"/>
  <c r="F811" i="2" s="1"/>
  <c r="E812" i="2"/>
  <c r="F812" i="2"/>
  <c r="E813" i="2"/>
  <c r="F813" i="2" s="1"/>
  <c r="E814" i="2"/>
  <c r="F814" i="2" s="1"/>
  <c r="E815" i="2"/>
  <c r="F815" i="2"/>
  <c r="E816" i="2"/>
  <c r="F816" i="2" s="1"/>
  <c r="E817" i="2"/>
  <c r="F817" i="2"/>
  <c r="E818" i="2"/>
  <c r="F818" i="2"/>
  <c r="E819" i="2"/>
  <c r="F819" i="2"/>
  <c r="E820" i="2"/>
  <c r="F820" i="2" s="1"/>
  <c r="E821" i="2"/>
  <c r="F821" i="2"/>
  <c r="E822" i="2"/>
  <c r="F822" i="2"/>
  <c r="E823" i="2"/>
  <c r="F823" i="2"/>
  <c r="E824" i="2"/>
  <c r="F824" i="2"/>
  <c r="E825" i="2"/>
  <c r="F825" i="2" s="1"/>
  <c r="E826" i="2"/>
  <c r="F826" i="2"/>
  <c r="E827" i="2"/>
  <c r="F827" i="2"/>
  <c r="E828" i="2"/>
  <c r="F828" i="2"/>
  <c r="E829" i="2"/>
  <c r="F829" i="2" s="1"/>
  <c r="E830" i="2"/>
  <c r="F830" i="2" s="1"/>
  <c r="E831" i="2"/>
  <c r="F831" i="2"/>
  <c r="E832" i="2"/>
  <c r="F832" i="2" s="1"/>
  <c r="E833" i="2"/>
  <c r="F833" i="2" s="1"/>
  <c r="E834" i="2"/>
  <c r="F834" i="2"/>
  <c r="E835" i="2"/>
  <c r="F835" i="2" s="1"/>
  <c r="E836" i="2"/>
  <c r="F836" i="2"/>
  <c r="E837" i="2"/>
  <c r="F837" i="2"/>
  <c r="E838" i="2"/>
  <c r="F838" i="2" s="1"/>
  <c r="E839" i="2"/>
  <c r="F839" i="2" s="1"/>
  <c r="E840" i="2"/>
  <c r="F840" i="2"/>
  <c r="E841" i="2"/>
  <c r="F841" i="2"/>
  <c r="E842" i="2"/>
  <c r="F842" i="2"/>
  <c r="E843" i="2"/>
  <c r="F843" i="2"/>
  <c r="E844" i="2"/>
  <c r="F844" i="2" s="1"/>
  <c r="E845" i="2"/>
  <c r="F845" i="2"/>
  <c r="E846" i="2"/>
  <c r="F846" i="2"/>
  <c r="E847" i="2"/>
  <c r="F847" i="2" s="1"/>
  <c r="E848" i="2"/>
  <c r="F848" i="2"/>
  <c r="E849" i="2"/>
  <c r="F849" i="2" s="1"/>
  <c r="E850" i="2"/>
  <c r="F850" i="2"/>
  <c r="E851" i="2"/>
  <c r="F851" i="2" s="1"/>
  <c r="E852" i="2"/>
  <c r="F852" i="2" s="1"/>
  <c r="E853" i="2"/>
  <c r="F853" i="2"/>
  <c r="E854" i="2"/>
  <c r="F854" i="2" s="1"/>
  <c r="E855" i="2"/>
  <c r="F855" i="2"/>
  <c r="E856" i="2"/>
  <c r="F856" i="2" s="1"/>
  <c r="E857" i="2"/>
  <c r="F857" i="2"/>
  <c r="E858" i="2"/>
  <c r="F858" i="2" s="1"/>
  <c r="E859" i="2"/>
  <c r="F859" i="2"/>
  <c r="E860" i="2"/>
  <c r="F860" i="2"/>
  <c r="E861" i="2"/>
  <c r="F861" i="2"/>
  <c r="E862" i="2"/>
  <c r="F862" i="2"/>
  <c r="E863" i="2"/>
  <c r="F863" i="2" s="1"/>
  <c r="E864" i="2"/>
  <c r="F864" i="2"/>
  <c r="E865" i="2"/>
  <c r="F865" i="2" s="1"/>
  <c r="E866" i="2"/>
  <c r="F866" i="2"/>
  <c r="E867" i="2"/>
  <c r="F867" i="2"/>
  <c r="E868" i="2"/>
  <c r="F868" i="2" s="1"/>
  <c r="E869" i="2"/>
  <c r="F869" i="2"/>
  <c r="E870" i="2"/>
  <c r="F870" i="2" s="1"/>
  <c r="E871" i="2"/>
  <c r="F871" i="2" s="1"/>
  <c r="E872" i="2"/>
  <c r="F872" i="2"/>
  <c r="E873" i="2"/>
  <c r="F873" i="2" s="1"/>
  <c r="E874" i="2"/>
  <c r="F874" i="2" s="1"/>
  <c r="E875" i="2"/>
  <c r="F875" i="2"/>
  <c r="E876" i="2"/>
  <c r="F876" i="2"/>
  <c r="E877" i="2"/>
  <c r="F877" i="2" s="1"/>
  <c r="E878" i="2"/>
  <c r="F878" i="2"/>
  <c r="E879" i="2"/>
  <c r="F879" i="2"/>
  <c r="E880" i="2"/>
  <c r="F880" i="2"/>
  <c r="E881" i="2"/>
  <c r="F881" i="2"/>
  <c r="E882" i="2"/>
  <c r="F882" i="2" s="1"/>
  <c r="E883" i="2"/>
  <c r="F883" i="2" s="1"/>
  <c r="E884" i="2"/>
  <c r="F884" i="2"/>
  <c r="E885" i="2"/>
  <c r="F885" i="2"/>
  <c r="E886" i="2"/>
  <c r="F886" i="2"/>
  <c r="E887" i="2"/>
  <c r="F887" i="2" s="1"/>
  <c r="E888" i="2"/>
  <c r="F888" i="2"/>
  <c r="E889" i="2"/>
  <c r="F889" i="2" s="1"/>
  <c r="E890" i="2"/>
  <c r="F890" i="2" s="1"/>
  <c r="E891" i="2"/>
  <c r="F891" i="2"/>
  <c r="E892" i="2"/>
  <c r="F892" i="2" s="1"/>
  <c r="E893" i="2"/>
  <c r="F893" i="2"/>
  <c r="E894" i="2"/>
  <c r="F894" i="2"/>
  <c r="E895" i="2"/>
  <c r="F895" i="2"/>
  <c r="E896" i="2"/>
  <c r="F896" i="2" s="1"/>
  <c r="E897" i="2"/>
  <c r="F897" i="2"/>
  <c r="E898" i="2"/>
  <c r="F898" i="2"/>
  <c r="E899" i="2"/>
  <c r="F899" i="2"/>
  <c r="E900" i="2"/>
  <c r="F900" i="2"/>
  <c r="E901" i="2"/>
  <c r="F901" i="2" s="1"/>
  <c r="E902" i="2"/>
  <c r="F902" i="2" s="1"/>
  <c r="E903" i="2"/>
  <c r="F903" i="2"/>
  <c r="E904" i="2"/>
  <c r="F904" i="2"/>
  <c r="E905" i="2"/>
  <c r="F905" i="2"/>
  <c r="E906" i="2"/>
  <c r="F906" i="2" s="1"/>
  <c r="E907" i="2"/>
  <c r="F907" i="2"/>
  <c r="E908" i="2"/>
  <c r="F908" i="2" s="1"/>
  <c r="E909" i="2"/>
  <c r="F909" i="2" s="1"/>
  <c r="E910" i="2"/>
  <c r="F910" i="2" s="1"/>
  <c r="E911" i="2"/>
  <c r="F911" i="2" s="1"/>
  <c r="E912" i="2"/>
  <c r="F912" i="2"/>
  <c r="E913" i="2"/>
  <c r="F913" i="2"/>
  <c r="E914" i="2"/>
  <c r="F914" i="2"/>
  <c r="E915" i="2"/>
  <c r="F915" i="2" s="1"/>
  <c r="E916" i="2"/>
  <c r="F916" i="2"/>
  <c r="E917" i="2"/>
  <c r="F917" i="2"/>
  <c r="E918" i="2"/>
  <c r="F918" i="2"/>
  <c r="E919" i="2"/>
  <c r="F919" i="2"/>
  <c r="E920" i="2"/>
  <c r="F920" i="2" s="1"/>
  <c r="E921" i="2"/>
  <c r="F921" i="2"/>
  <c r="E922" i="2"/>
  <c r="F922" i="2"/>
  <c r="E923" i="2"/>
  <c r="F923" i="2"/>
  <c r="E924" i="2"/>
  <c r="F924" i="2" s="1"/>
  <c r="E925" i="2"/>
  <c r="F925" i="2"/>
  <c r="E926" i="2"/>
  <c r="F926" i="2"/>
  <c r="E927" i="2"/>
  <c r="F927" i="2"/>
  <c r="E928" i="2"/>
  <c r="F928" i="2"/>
  <c r="E929" i="2"/>
  <c r="F929" i="2" s="1"/>
  <c r="E930" i="2"/>
  <c r="F930" i="2"/>
  <c r="E931" i="2"/>
  <c r="F931" i="2"/>
  <c r="E932" i="2"/>
  <c r="F932" i="2"/>
  <c r="E933" i="2"/>
  <c r="F933" i="2" s="1"/>
  <c r="E934" i="2"/>
  <c r="F934" i="2"/>
  <c r="E935" i="2"/>
  <c r="F935" i="2"/>
  <c r="E936" i="2"/>
  <c r="F936" i="2"/>
  <c r="E937" i="2"/>
  <c r="F937" i="2"/>
  <c r="E938" i="2"/>
  <c r="F938" i="2" s="1"/>
  <c r="E939" i="2"/>
  <c r="F939" i="2"/>
  <c r="E940" i="2"/>
  <c r="F940" i="2"/>
  <c r="E941" i="2"/>
  <c r="F941" i="2"/>
  <c r="E942" i="2"/>
  <c r="F942" i="2" s="1"/>
  <c r="E943" i="2"/>
  <c r="F943" i="2"/>
  <c r="E944" i="2"/>
  <c r="F944" i="2"/>
  <c r="E945" i="2"/>
  <c r="F945" i="2"/>
  <c r="E946" i="2"/>
  <c r="F946" i="2"/>
  <c r="E947" i="2"/>
  <c r="F947" i="2" s="1"/>
  <c r="E948" i="2"/>
  <c r="F948" i="2"/>
  <c r="E949" i="2"/>
  <c r="F949" i="2"/>
  <c r="E950" i="2"/>
  <c r="F950" i="2"/>
  <c r="E951" i="2"/>
  <c r="F951" i="2" s="1"/>
  <c r="E952" i="2"/>
  <c r="F952" i="2"/>
  <c r="E953" i="2"/>
  <c r="F953" i="2"/>
  <c r="E954" i="2"/>
  <c r="F954" i="2"/>
  <c r="E955" i="2"/>
  <c r="F955" i="2"/>
  <c r="E956" i="2"/>
  <c r="F956" i="2" s="1"/>
  <c r="E957" i="2"/>
  <c r="F957" i="2"/>
  <c r="E958" i="2"/>
  <c r="F958" i="2"/>
  <c r="E959" i="2"/>
  <c r="F959" i="2"/>
  <c r="E960" i="2"/>
  <c r="F960" i="2" s="1"/>
  <c r="E961" i="2"/>
  <c r="F961" i="2"/>
  <c r="E962" i="2"/>
  <c r="F962" i="2"/>
  <c r="E963" i="2"/>
  <c r="F963" i="2"/>
  <c r="E964" i="2"/>
  <c r="F964" i="2"/>
  <c r="E965" i="2"/>
  <c r="F965" i="2" s="1"/>
  <c r="E966" i="2"/>
  <c r="F966" i="2"/>
  <c r="E967" i="2"/>
  <c r="F967" i="2"/>
  <c r="E968" i="2"/>
  <c r="F968" i="2"/>
  <c r="E969" i="2"/>
  <c r="F969" i="2" s="1"/>
  <c r="E970" i="2"/>
  <c r="F970" i="2"/>
  <c r="E971" i="2"/>
  <c r="F971" i="2"/>
  <c r="E972" i="2"/>
  <c r="F972" i="2"/>
  <c r="E973" i="2"/>
  <c r="F973" i="2"/>
  <c r="E974" i="2"/>
  <c r="F974" i="2" s="1"/>
  <c r="E975" i="2"/>
  <c r="F975" i="2"/>
  <c r="E976" i="2"/>
  <c r="F976" i="2"/>
  <c r="E977" i="2"/>
  <c r="F977" i="2"/>
  <c r="E978" i="2"/>
  <c r="F978" i="2" s="1"/>
  <c r="E979" i="2"/>
  <c r="F979" i="2"/>
  <c r="E980" i="2"/>
  <c r="F980" i="2"/>
  <c r="E981" i="2"/>
  <c r="F981" i="2"/>
  <c r="E982" i="2"/>
  <c r="F982" i="2"/>
  <c r="E983" i="2"/>
  <c r="F983" i="2" s="1"/>
  <c r="E984" i="2"/>
  <c r="F984" i="2"/>
  <c r="E985" i="2"/>
  <c r="F985" i="2"/>
  <c r="E986" i="2"/>
  <c r="F986" i="2"/>
  <c r="E987" i="2"/>
  <c r="F987" i="2" s="1"/>
  <c r="E988" i="2"/>
  <c r="F988" i="2"/>
  <c r="E989" i="2"/>
  <c r="F989" i="2"/>
  <c r="E990" i="2"/>
  <c r="F990" i="2"/>
  <c r="E991" i="2"/>
  <c r="F991" i="2"/>
  <c r="E992" i="2"/>
  <c r="F992" i="2" s="1"/>
  <c r="E993" i="2"/>
  <c r="F993" i="2"/>
  <c r="E994" i="2"/>
  <c r="F994" i="2"/>
  <c r="E995" i="2"/>
  <c r="F995" i="2"/>
  <c r="E996" i="2"/>
  <c r="F996" i="2" s="1"/>
  <c r="E997" i="2"/>
  <c r="F997" i="2"/>
  <c r="E998" i="2"/>
  <c r="F998" i="2"/>
  <c r="E999" i="2"/>
  <c r="F999" i="2"/>
  <c r="E1000" i="2"/>
  <c r="F1000" i="2"/>
  <c r="E1001" i="2"/>
  <c r="F1001" i="2" s="1"/>
  <c r="E153" i="2"/>
  <c r="F153" i="2" s="1"/>
  <c r="D150" i="2"/>
  <c r="D149" i="2" s="1"/>
  <c r="D148" i="2" s="1"/>
  <c r="D147" i="2" s="1"/>
  <c r="D146" i="2" s="1"/>
  <c r="D145" i="2" s="1"/>
  <c r="D144" i="2" s="1"/>
  <c r="D143" i="2" s="1"/>
  <c r="D142" i="2" s="1"/>
  <c r="D141" i="2" s="1"/>
  <c r="D140" i="2" s="1"/>
  <c r="D139" i="2" s="1"/>
  <c r="D138" i="2" s="1"/>
  <c r="D137" i="2" s="1"/>
  <c r="D136" i="2" s="1"/>
  <c r="D135" i="2" s="1"/>
  <c r="D134" i="2" s="1"/>
  <c r="D133" i="2" s="1"/>
  <c r="D132" i="2" s="1"/>
  <c r="D131" i="2" s="1"/>
  <c r="D130" i="2" s="1"/>
  <c r="D129" i="2" s="1"/>
  <c r="D128" i="2" s="1"/>
  <c r="D127" i="2" s="1"/>
  <c r="D126" i="2" s="1"/>
  <c r="D125" i="2" s="1"/>
  <c r="D124" i="2" s="1"/>
  <c r="D123" i="2" s="1"/>
  <c r="D122" i="2" s="1"/>
  <c r="D121" i="2" s="1"/>
  <c r="D120" i="2" s="1"/>
  <c r="D119" i="2" s="1"/>
  <c r="D118" i="2" s="1"/>
  <c r="D117" i="2" s="1"/>
  <c r="D116" i="2" s="1"/>
  <c r="D115" i="2" s="1"/>
  <c r="D114" i="2" s="1"/>
  <c r="D113" i="2" s="1"/>
  <c r="D112" i="2" s="1"/>
  <c r="D111" i="2" s="1"/>
  <c r="D110" i="2" s="1"/>
  <c r="D109" i="2" s="1"/>
  <c r="D108" i="2" s="1"/>
  <c r="D107" i="2" s="1"/>
  <c r="D106" i="2" s="1"/>
  <c r="D105" i="2" s="1"/>
  <c r="D104" i="2" s="1"/>
  <c r="D103" i="2" s="1"/>
  <c r="D102" i="2" s="1"/>
  <c r="D101" i="2" s="1"/>
  <c r="D100" i="2" s="1"/>
  <c r="D99" i="2" s="1"/>
  <c r="D98" i="2" s="1"/>
  <c r="D97" i="2" s="1"/>
  <c r="D96" i="2" s="1"/>
  <c r="D95" i="2" s="1"/>
  <c r="D94" i="2" s="1"/>
  <c r="D93" i="2" s="1"/>
  <c r="D92" i="2" s="1"/>
  <c r="D91" i="2" s="1"/>
  <c r="D90" i="2" s="1"/>
  <c r="D89" i="2" s="1"/>
  <c r="D88" i="2" s="1"/>
  <c r="D87" i="2" s="1"/>
  <c r="D86" i="2" s="1"/>
  <c r="D85" i="2" s="1"/>
  <c r="D84" i="2" s="1"/>
  <c r="D83" i="2" s="1"/>
  <c r="D82" i="2" s="1"/>
  <c r="D81" i="2" s="1"/>
  <c r="D80" i="2" s="1"/>
  <c r="D79" i="2" s="1"/>
  <c r="D78" i="2" s="1"/>
  <c r="D77" i="2" s="1"/>
  <c r="D76" i="2" s="1"/>
  <c r="D75" i="2" s="1"/>
  <c r="D74" i="2" s="1"/>
  <c r="D73" i="2" s="1"/>
  <c r="D72" i="2" s="1"/>
  <c r="D71" i="2" s="1"/>
  <c r="D70" i="2" s="1"/>
  <c r="D69" i="2" s="1"/>
  <c r="D68" i="2" s="1"/>
  <c r="D67" i="2" s="1"/>
  <c r="D66" i="2" s="1"/>
  <c r="D65" i="2" s="1"/>
  <c r="D64" i="2" s="1"/>
  <c r="D63" i="2" s="1"/>
  <c r="D62" i="2" s="1"/>
  <c r="D61" i="2" s="1"/>
  <c r="D60" i="2" s="1"/>
  <c r="D59" i="2" s="1"/>
  <c r="D58" i="2" s="1"/>
  <c r="D57" i="2" s="1"/>
  <c r="D56" i="2" s="1"/>
  <c r="D55" i="2" s="1"/>
  <c r="D54" i="2" s="1"/>
  <c r="D53" i="2" s="1"/>
  <c r="D52" i="2" s="1"/>
  <c r="D51" i="2" s="1"/>
  <c r="D50" i="2" s="1"/>
  <c r="D49" i="2" s="1"/>
  <c r="D48" i="2" s="1"/>
  <c r="D47" i="2" s="1"/>
  <c r="D46" i="2" s="1"/>
  <c r="D45" i="2" s="1"/>
  <c r="D44" i="2" s="1"/>
  <c r="D43" i="2" s="1"/>
  <c r="D42" i="2" s="1"/>
  <c r="D41" i="2" s="1"/>
  <c r="D40" i="2" s="1"/>
  <c r="D39" i="2" s="1"/>
  <c r="D38" i="2" s="1"/>
  <c r="D37" i="2" s="1"/>
  <c r="D36" i="2" s="1"/>
  <c r="D35" i="2" s="1"/>
  <c r="D34" i="2" s="1"/>
  <c r="D33" i="2" s="1"/>
  <c r="D32" i="2" s="1"/>
  <c r="D31" i="2" s="1"/>
  <c r="D30" i="2" s="1"/>
  <c r="D29" i="2" s="1"/>
  <c r="D28" i="2" s="1"/>
  <c r="D27" i="2" s="1"/>
  <c r="D26" i="2" s="1"/>
  <c r="D25" i="2" s="1"/>
  <c r="D24" i="2" s="1"/>
  <c r="D23" i="2" s="1"/>
  <c r="D22" i="2" s="1"/>
  <c r="D21" i="2" s="1"/>
  <c r="D20" i="2" s="1"/>
  <c r="D19" i="2" s="1"/>
  <c r="D18" i="2" s="1"/>
  <c r="D17" i="2" s="1"/>
  <c r="D16" i="2" s="1"/>
  <c r="D15" i="2" s="1"/>
  <c r="D14" i="2" s="1"/>
  <c r="D13" i="2" s="1"/>
  <c r="D12" i="2" s="1"/>
  <c r="D11" i="2" s="1"/>
  <c r="D10" i="2" s="1"/>
  <c r="D9" i="2" s="1"/>
  <c r="D8" i="2" s="1"/>
  <c r="D7" i="2" s="1"/>
  <c r="D6" i="2" s="1"/>
  <c r="D5" i="2" s="1"/>
  <c r="D4" i="2" s="1"/>
  <c r="D3" i="2" s="1"/>
  <c r="D2" i="2" s="1"/>
  <c r="E152" i="2" s="1"/>
  <c r="F152" i="2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2" i="2"/>
  <c r="A1005" i="2"/>
  <c r="A1004" i="2"/>
  <c r="A1003" i="2"/>
</calcChain>
</file>

<file path=xl/sharedStrings.xml><?xml version="1.0" encoding="utf-8"?>
<sst xmlns="http://schemas.openxmlformats.org/spreadsheetml/2006/main" count="16" uniqueCount="13">
  <si>
    <t>square</t>
  </si>
  <si>
    <t>lambda</t>
  </si>
  <si>
    <t>multiplier</t>
  </si>
  <si>
    <t>capital</t>
  </si>
  <si>
    <t>daily VaR</t>
  </si>
  <si>
    <t>daily return</t>
  </si>
  <si>
    <t>weekly VaR</t>
  </si>
  <si>
    <t>frequency</t>
  </si>
  <si>
    <t>daily returns</t>
  </si>
  <si>
    <t>squared</t>
  </si>
  <si>
    <t>1 day monetary VaR</t>
  </si>
  <si>
    <t>horizon</t>
  </si>
  <si>
    <t>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</si>
</sst>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D614-88EB-42B7-AA36-1D921361B28B}">
  <dimension ref="A1:I1005"/>
  <sheetViews>
    <sheetView workbookViewId="0"/>
  </sheetViews>
  <sheetFormatPr defaultRowHeight="28.5" x14ac:dyDescent="0.45"/>
  <cols>
    <col min="1" max="1" width="11.73046875" bestFit="1" customWidth="1"/>
    <col min="5" max="5" width="11.73046875" bestFit="1" customWidth="1"/>
  </cols>
  <sheetData>
    <row r="1" spans="1:8" x14ac:dyDescent="0.45">
      <c r="A1" t="s">
        <v>5</v>
      </c>
      <c r="B1" t="s">
        <v>0</v>
      </c>
      <c r="D1" t="s">
        <v>1</v>
      </c>
      <c r="E1">
        <v>0.95</v>
      </c>
      <c r="G1" t="s">
        <v>2</v>
      </c>
      <c r="H1">
        <v>2.3250000000000002</v>
      </c>
    </row>
    <row r="2" spans="1:8" x14ac:dyDescent="0.45">
      <c r="A2">
        <v>-1.0955795914924238E-2</v>
      </c>
      <c r="B2">
        <f>A2^2</f>
        <v>1.2002946412947061E-4</v>
      </c>
      <c r="D2">
        <f t="shared" ref="D2:D65" si="0">D3*$E$1</f>
        <v>4.7953155208806006E-4</v>
      </c>
      <c r="G2" t="s">
        <v>3</v>
      </c>
      <c r="H2">
        <v>100000</v>
      </c>
    </row>
    <row r="3" spans="1:8" x14ac:dyDescent="0.45">
      <c r="A3">
        <v>-2.7368628252588678E-3</v>
      </c>
      <c r="B3">
        <f t="shared" ref="B3:B66" si="1">A3^2</f>
        <v>7.4904181242839521E-6</v>
      </c>
      <c r="D3">
        <f t="shared" si="0"/>
        <v>5.0477005482953694E-4</v>
      </c>
      <c r="G3" t="s">
        <v>7</v>
      </c>
      <c r="H3">
        <v>20</v>
      </c>
    </row>
    <row r="4" spans="1:8" x14ac:dyDescent="0.45">
      <c r="A4">
        <v>-1.0172698239330202E-3</v>
      </c>
      <c r="B4">
        <f t="shared" si="1"/>
        <v>1.034837894684718E-6</v>
      </c>
      <c r="D4">
        <f t="shared" si="0"/>
        <v>5.3133689982056526E-4</v>
      </c>
    </row>
    <row r="5" spans="1:8" x14ac:dyDescent="0.45">
      <c r="A5">
        <v>-2.8904651117045432E-3</v>
      </c>
      <c r="B5">
        <f t="shared" si="1"/>
        <v>8.3547885619811567E-6</v>
      </c>
      <c r="D5">
        <f t="shared" si="0"/>
        <v>5.5930199981112138E-4</v>
      </c>
    </row>
    <row r="6" spans="1:8" x14ac:dyDescent="0.45">
      <c r="A6">
        <v>9.4867800726206042E-3</v>
      </c>
      <c r="B6">
        <f t="shared" si="1"/>
        <v>8.9998996146271402E-5</v>
      </c>
      <c r="D6">
        <f t="shared" si="0"/>
        <v>5.8873894716960143E-4</v>
      </c>
    </row>
    <row r="7" spans="1:8" x14ac:dyDescent="0.45">
      <c r="A7">
        <v>1.7633965398999862E-4</v>
      </c>
      <c r="B7">
        <f t="shared" si="1"/>
        <v>3.1095673569312438E-8</v>
      </c>
      <c r="D7">
        <f t="shared" si="0"/>
        <v>6.1972520754694893E-4</v>
      </c>
    </row>
    <row r="8" spans="1:8" x14ac:dyDescent="0.45">
      <c r="A8">
        <v>1.5184150470304303E-2</v>
      </c>
      <c r="B8">
        <f t="shared" si="1"/>
        <v>2.3055842550484239E-4</v>
      </c>
      <c r="D8">
        <f t="shared" si="0"/>
        <v>6.5234232373363049E-4</v>
      </c>
    </row>
    <row r="9" spans="1:8" x14ac:dyDescent="0.45">
      <c r="A9">
        <v>-4.7149455895123538E-3</v>
      </c>
      <c r="B9">
        <f t="shared" si="1"/>
        <v>2.2230711912061998E-5</v>
      </c>
      <c r="D9">
        <f t="shared" si="0"/>
        <v>6.8667613024592689E-4</v>
      </c>
    </row>
    <row r="10" spans="1:8" x14ac:dyDescent="0.45">
      <c r="A10">
        <v>-4.2048213799716905E-4</v>
      </c>
      <c r="B10">
        <f t="shared" si="1"/>
        <v>1.7680522837467031E-7</v>
      </c>
      <c r="D10">
        <f t="shared" si="0"/>
        <v>7.2281697920623881E-4</v>
      </c>
    </row>
    <row r="11" spans="1:8" x14ac:dyDescent="0.45">
      <c r="A11">
        <v>2.228739504062105E-3</v>
      </c>
      <c r="B11">
        <f t="shared" si="1"/>
        <v>4.9672797769669976E-6</v>
      </c>
      <c r="D11">
        <f t="shared" si="0"/>
        <v>7.6085997811183037E-4</v>
      </c>
    </row>
    <row r="12" spans="1:8" x14ac:dyDescent="0.45">
      <c r="A12">
        <v>-3.6999495023337658E-3</v>
      </c>
      <c r="B12">
        <f t="shared" si="1"/>
        <v>1.3689626319819881E-5</v>
      </c>
      <c r="D12">
        <f t="shared" si="0"/>
        <v>8.0090524011771616E-4</v>
      </c>
    </row>
    <row r="13" spans="1:8" x14ac:dyDescent="0.45">
      <c r="A13">
        <v>4.4203034121892415E-3</v>
      </c>
      <c r="B13">
        <f t="shared" si="1"/>
        <v>1.9539082255811853E-5</v>
      </c>
      <c r="D13">
        <f t="shared" si="0"/>
        <v>8.4305814749233285E-4</v>
      </c>
    </row>
    <row r="14" spans="1:8" x14ac:dyDescent="0.45">
      <c r="A14">
        <v>7.6774085755459964E-3</v>
      </c>
      <c r="B14">
        <f t="shared" si="1"/>
        <v>5.8942602435867203E-5</v>
      </c>
      <c r="D14">
        <f t="shared" si="0"/>
        <v>8.8742962893929779E-4</v>
      </c>
    </row>
    <row r="15" spans="1:8" x14ac:dyDescent="0.45">
      <c r="A15">
        <v>-1.4159013517200947E-2</v>
      </c>
      <c r="B15">
        <f t="shared" si="1"/>
        <v>2.0047766378027913E-4</v>
      </c>
      <c r="D15">
        <f t="shared" si="0"/>
        <v>9.3413645151505041E-4</v>
      </c>
    </row>
    <row r="16" spans="1:8" x14ac:dyDescent="0.45">
      <c r="A16">
        <v>-9.8958707894780673E-4</v>
      </c>
      <c r="B16">
        <f t="shared" si="1"/>
        <v>9.7928258682045266E-7</v>
      </c>
      <c r="D16">
        <f t="shared" si="0"/>
        <v>9.8330152791057941E-4</v>
      </c>
    </row>
    <row r="17" spans="1:4" x14ac:dyDescent="0.45">
      <c r="A17">
        <v>3.5618086258182302E-4</v>
      </c>
      <c r="B17">
        <f t="shared" si="1"/>
        <v>1.2686480686953149E-7</v>
      </c>
      <c r="D17">
        <f t="shared" si="0"/>
        <v>1.035054239905873E-3</v>
      </c>
    </row>
    <row r="18" spans="1:4" x14ac:dyDescent="0.45">
      <c r="A18">
        <v>-1.1771317076636478E-2</v>
      </c>
      <c r="B18">
        <f t="shared" si="1"/>
        <v>1.3856390571871356E-4</v>
      </c>
      <c r="D18">
        <f t="shared" si="0"/>
        <v>1.0895307788482875E-3</v>
      </c>
    </row>
    <row r="19" spans="1:4" x14ac:dyDescent="0.45">
      <c r="A19">
        <v>-2.4126393327605911E-3</v>
      </c>
      <c r="B19">
        <f t="shared" si="1"/>
        <v>5.82082854998347E-6</v>
      </c>
      <c r="D19">
        <f t="shared" si="0"/>
        <v>1.1468745040508291E-3</v>
      </c>
    </row>
    <row r="20" spans="1:4" x14ac:dyDescent="0.45">
      <c r="A20">
        <v>1.1519318832142744E-3</v>
      </c>
      <c r="B20">
        <f t="shared" si="1"/>
        <v>1.3269470635655848E-6</v>
      </c>
      <c r="D20">
        <f t="shared" si="0"/>
        <v>1.2072363200535043E-3</v>
      </c>
    </row>
    <row r="21" spans="1:4" x14ac:dyDescent="0.45">
      <c r="A21">
        <v>6.19202182861045E-3</v>
      </c>
      <c r="B21">
        <f t="shared" si="1"/>
        <v>3.8341134325988298E-5</v>
      </c>
      <c r="D21">
        <f t="shared" si="0"/>
        <v>1.2707750737405309E-3</v>
      </c>
    </row>
    <row r="22" spans="1:4" x14ac:dyDescent="0.45">
      <c r="A22">
        <v>-1.6784224499133416E-2</v>
      </c>
      <c r="B22">
        <f t="shared" si="1"/>
        <v>2.8171019203731033E-4</v>
      </c>
      <c r="D22">
        <f t="shared" si="0"/>
        <v>1.3376579723584536E-3</v>
      </c>
    </row>
    <row r="23" spans="1:4" x14ac:dyDescent="0.45">
      <c r="A23">
        <v>1.1522615750436671E-2</v>
      </c>
      <c r="B23">
        <f t="shared" si="1"/>
        <v>1.3277067373221126E-4</v>
      </c>
      <c r="D23">
        <f t="shared" si="0"/>
        <v>1.4080610235352145E-3</v>
      </c>
    </row>
    <row r="24" spans="1:4" x14ac:dyDescent="0.45">
      <c r="A24">
        <v>-2.6401039576740004E-3</v>
      </c>
      <c r="B24">
        <f t="shared" si="1"/>
        <v>6.9701489073259205E-6</v>
      </c>
      <c r="D24">
        <f t="shared" si="0"/>
        <v>1.4821694984581207E-3</v>
      </c>
    </row>
    <row r="25" spans="1:4" x14ac:dyDescent="0.45">
      <c r="A25">
        <v>-4.0454551708535291E-3</v>
      </c>
      <c r="B25">
        <f t="shared" si="1"/>
        <v>1.6365707539385557E-5</v>
      </c>
      <c r="D25">
        <f t="shared" si="0"/>
        <v>1.5601784194296008E-3</v>
      </c>
    </row>
    <row r="26" spans="1:4" x14ac:dyDescent="0.45">
      <c r="A26">
        <v>1.2251302905497141E-2</v>
      </c>
      <c r="B26">
        <f t="shared" si="1"/>
        <v>1.5009442288224268E-4</v>
      </c>
      <c r="D26">
        <f t="shared" si="0"/>
        <v>1.6422930730837905E-3</v>
      </c>
    </row>
    <row r="27" spans="1:4" x14ac:dyDescent="0.45">
      <c r="A27">
        <v>1.0148232831852511E-2</v>
      </c>
      <c r="B27">
        <f t="shared" si="1"/>
        <v>1.0298662960948923E-4</v>
      </c>
      <c r="D27">
        <f t="shared" si="0"/>
        <v>1.7287295506145165E-3</v>
      </c>
    </row>
    <row r="28" spans="1:4" x14ac:dyDescent="0.45">
      <c r="A28">
        <v>-2.1527284843614325E-3</v>
      </c>
      <c r="B28">
        <f t="shared" si="1"/>
        <v>4.6342399273810701E-6</v>
      </c>
      <c r="D28">
        <f t="shared" si="0"/>
        <v>1.8197153164363333E-3</v>
      </c>
    </row>
    <row r="29" spans="1:4" x14ac:dyDescent="0.45">
      <c r="A29">
        <v>-7.3086994234472513E-3</v>
      </c>
      <c r="B29">
        <f t="shared" si="1"/>
        <v>5.3417087262298184E-5</v>
      </c>
      <c r="D29">
        <f t="shared" si="0"/>
        <v>1.9154898067750877E-3</v>
      </c>
    </row>
    <row r="30" spans="1:4" x14ac:dyDescent="0.45">
      <c r="A30">
        <v>-8.523966243956238E-3</v>
      </c>
      <c r="B30">
        <f t="shared" si="1"/>
        <v>7.2658000528105413E-5</v>
      </c>
      <c r="D30">
        <f t="shared" si="0"/>
        <v>2.0163050597632503E-3</v>
      </c>
    </row>
    <row r="31" spans="1:4" x14ac:dyDescent="0.45">
      <c r="A31">
        <v>1.3107182894600555E-3</v>
      </c>
      <c r="B31">
        <f t="shared" si="1"/>
        <v>1.7179824343250939E-6</v>
      </c>
      <c r="D31">
        <f t="shared" si="0"/>
        <v>2.1224263786981581E-3</v>
      </c>
    </row>
    <row r="32" spans="1:4" x14ac:dyDescent="0.45">
      <c r="A32">
        <v>6.3073457567952573E-3</v>
      </c>
      <c r="B32">
        <f t="shared" si="1"/>
        <v>3.9782610495763134E-5</v>
      </c>
      <c r="D32">
        <f t="shared" si="0"/>
        <v>2.2341330302085875E-3</v>
      </c>
    </row>
    <row r="33" spans="1:4" x14ac:dyDescent="0.45">
      <c r="A33">
        <v>1.6488138498971239E-2</v>
      </c>
      <c r="B33">
        <f t="shared" si="1"/>
        <v>2.7185871116125753E-4</v>
      </c>
      <c r="D33">
        <f t="shared" si="0"/>
        <v>2.3517189791669342E-3</v>
      </c>
    </row>
    <row r="34" spans="1:4" x14ac:dyDescent="0.45">
      <c r="A34">
        <v>1.8844002624973655E-2</v>
      </c>
      <c r="B34">
        <f t="shared" si="1"/>
        <v>3.5509643493001399E-4</v>
      </c>
      <c r="D34">
        <f t="shared" si="0"/>
        <v>2.4754936622809836E-3</v>
      </c>
    </row>
    <row r="35" spans="1:4" x14ac:dyDescent="0.45">
      <c r="A35">
        <v>9.834366210270673E-4</v>
      </c>
      <c r="B35">
        <f t="shared" si="1"/>
        <v>9.671475875771356E-7</v>
      </c>
      <c r="D35">
        <f t="shared" si="0"/>
        <v>2.6057828024010354E-3</v>
      </c>
    </row>
    <row r="36" spans="1:4" x14ac:dyDescent="0.45">
      <c r="A36">
        <v>2.3009533833828755E-3</v>
      </c>
      <c r="B36">
        <f t="shared" si="1"/>
        <v>5.2943864725011019E-6</v>
      </c>
      <c r="D36">
        <f t="shared" si="0"/>
        <v>2.7429292656853004E-3</v>
      </c>
    </row>
    <row r="37" spans="1:4" x14ac:dyDescent="0.45">
      <c r="A37">
        <v>6.0545289670699276E-3</v>
      </c>
      <c r="B37">
        <f t="shared" si="1"/>
        <v>3.6657321013088844E-5</v>
      </c>
      <c r="D37">
        <f t="shared" si="0"/>
        <v>2.8872939638792637E-3</v>
      </c>
    </row>
    <row r="38" spans="1:4" x14ac:dyDescent="0.45">
      <c r="A38">
        <v>-7.1211388785741292E-3</v>
      </c>
      <c r="B38">
        <f t="shared" si="1"/>
        <v>5.0710618927940008E-5</v>
      </c>
      <c r="D38">
        <f t="shared" si="0"/>
        <v>3.0392568040834358E-3</v>
      </c>
    </row>
    <row r="39" spans="1:4" x14ac:dyDescent="0.45">
      <c r="A39">
        <v>-1.5895238902885467E-2</v>
      </c>
      <c r="B39">
        <f t="shared" si="1"/>
        <v>2.526586197798036E-4</v>
      </c>
      <c r="D39">
        <f t="shared" si="0"/>
        <v>3.19921768850888E-3</v>
      </c>
    </row>
    <row r="40" spans="1:4" x14ac:dyDescent="0.45">
      <c r="A40">
        <v>5.8499608712736517E-3</v>
      </c>
      <c r="B40">
        <f t="shared" si="1"/>
        <v>3.4222042195432781E-5</v>
      </c>
      <c r="D40">
        <f t="shared" si="0"/>
        <v>3.3675975668514529E-3</v>
      </c>
    </row>
    <row r="41" spans="1:4" x14ac:dyDescent="0.45">
      <c r="A41">
        <v>-3.3191781767527573E-3</v>
      </c>
      <c r="B41">
        <f t="shared" si="1"/>
        <v>1.1016943769031759E-5</v>
      </c>
      <c r="D41">
        <f t="shared" si="0"/>
        <v>3.5448395440541612E-3</v>
      </c>
    </row>
    <row r="42" spans="1:4" x14ac:dyDescent="0.45">
      <c r="A42">
        <v>3.1938543543219566E-2</v>
      </c>
      <c r="B42">
        <f t="shared" si="1"/>
        <v>1.0200705636621323E-3</v>
      </c>
      <c r="D42">
        <f t="shared" si="0"/>
        <v>3.7314100463728015E-3</v>
      </c>
    </row>
    <row r="43" spans="1:4" x14ac:dyDescent="0.45">
      <c r="A43">
        <v>-3.6336814446258359E-3</v>
      </c>
      <c r="B43">
        <f t="shared" si="1"/>
        <v>1.3203640841018101E-5</v>
      </c>
      <c r="D43">
        <f t="shared" si="0"/>
        <v>3.9278000488134754E-3</v>
      </c>
    </row>
    <row r="44" spans="1:4" x14ac:dyDescent="0.45">
      <c r="A44">
        <v>-1.2429836715455167E-2</v>
      </c>
      <c r="B44">
        <f t="shared" si="1"/>
        <v>1.5450084077287731E-4</v>
      </c>
      <c r="D44">
        <f t="shared" si="0"/>
        <v>4.1345263671720795E-3</v>
      </c>
    </row>
    <row r="45" spans="1:4" x14ac:dyDescent="0.45">
      <c r="A45">
        <v>-8.91327545105014E-3</v>
      </c>
      <c r="B45">
        <f t="shared" si="1"/>
        <v>7.9446479266293072E-5</v>
      </c>
      <c r="D45">
        <f t="shared" si="0"/>
        <v>4.3521330180758735E-3</v>
      </c>
    </row>
    <row r="46" spans="1:4" x14ac:dyDescent="0.45">
      <c r="A46">
        <v>-1.5210844139801338E-2</v>
      </c>
      <c r="B46">
        <f t="shared" si="1"/>
        <v>2.3136977944532871E-4</v>
      </c>
      <c r="D46">
        <f t="shared" si="0"/>
        <v>4.5811926506061831E-3</v>
      </c>
    </row>
    <row r="47" spans="1:4" x14ac:dyDescent="0.45">
      <c r="A47">
        <v>-5.1556526159401983E-3</v>
      </c>
      <c r="B47">
        <f t="shared" si="1"/>
        <v>2.6580753896251009E-5</v>
      </c>
      <c r="D47">
        <f t="shared" si="0"/>
        <v>4.8223080532696664E-3</v>
      </c>
    </row>
    <row r="48" spans="1:4" x14ac:dyDescent="0.45">
      <c r="A48">
        <v>8.7416083260904998E-3</v>
      </c>
      <c r="B48">
        <f t="shared" si="1"/>
        <v>7.6415716126774748E-5</v>
      </c>
      <c r="D48">
        <f t="shared" si="0"/>
        <v>5.0761137402838595E-3</v>
      </c>
    </row>
    <row r="49" spans="1:4" x14ac:dyDescent="0.45">
      <c r="A49">
        <v>2.6607040126691572E-3</v>
      </c>
      <c r="B49">
        <f t="shared" si="1"/>
        <v>7.0793458430337548E-6</v>
      </c>
      <c r="D49">
        <f t="shared" si="0"/>
        <v>5.3432776213514317E-3</v>
      </c>
    </row>
    <row r="50" spans="1:4" x14ac:dyDescent="0.45">
      <c r="A50">
        <v>9.5602217697887681E-3</v>
      </c>
      <c r="B50">
        <f t="shared" si="1"/>
        <v>9.1397840287543085E-5</v>
      </c>
      <c r="D50">
        <f t="shared" si="0"/>
        <v>5.6245027593172965E-3</v>
      </c>
    </row>
    <row r="51" spans="1:4" x14ac:dyDescent="0.45">
      <c r="A51">
        <v>-1.0310873221897054E-2</v>
      </c>
      <c r="B51">
        <f t="shared" si="1"/>
        <v>1.0631410659803374E-4</v>
      </c>
      <c r="D51">
        <f t="shared" si="0"/>
        <v>5.9205292203339966E-3</v>
      </c>
    </row>
    <row r="52" spans="1:4" x14ac:dyDescent="0.45">
      <c r="A52">
        <v>-8.9932427727035247E-3</v>
      </c>
      <c r="B52">
        <f t="shared" si="1"/>
        <v>8.0878415568784185E-5</v>
      </c>
      <c r="D52">
        <f t="shared" si="0"/>
        <v>6.2321360214042075E-3</v>
      </c>
    </row>
    <row r="53" spans="1:4" x14ac:dyDescent="0.45">
      <c r="A53">
        <v>3.4690856409724802E-3</v>
      </c>
      <c r="B53">
        <f t="shared" si="1"/>
        <v>1.2034555184401443E-5</v>
      </c>
      <c r="D53">
        <f t="shared" si="0"/>
        <v>6.5601431804254819E-3</v>
      </c>
    </row>
    <row r="54" spans="1:4" x14ac:dyDescent="0.45">
      <c r="A54">
        <v>5.1007873480557464E-4</v>
      </c>
      <c r="B54">
        <f t="shared" si="1"/>
        <v>2.6018031570085573E-7</v>
      </c>
      <c r="D54">
        <f t="shared" si="0"/>
        <v>6.9054138741320862E-3</v>
      </c>
    </row>
    <row r="55" spans="1:4" x14ac:dyDescent="0.45">
      <c r="A55">
        <v>2.0378320186864585E-2</v>
      </c>
      <c r="B55">
        <f t="shared" si="1"/>
        <v>4.1527593363837267E-4</v>
      </c>
      <c r="D55">
        <f t="shared" si="0"/>
        <v>7.2688567096127225E-3</v>
      </c>
    </row>
    <row r="56" spans="1:4" x14ac:dyDescent="0.45">
      <c r="A56">
        <v>-5.9693093135138042E-3</v>
      </c>
      <c r="B56">
        <f t="shared" si="1"/>
        <v>3.5632653680402647E-5</v>
      </c>
      <c r="D56">
        <f t="shared" si="0"/>
        <v>7.6514281153818135E-3</v>
      </c>
    </row>
    <row r="57" spans="1:4" x14ac:dyDescent="0.45">
      <c r="A57">
        <v>9.752898222359363E-3</v>
      </c>
      <c r="B57">
        <f t="shared" si="1"/>
        <v>9.5119023735700426E-5</v>
      </c>
      <c r="D57">
        <f t="shared" si="0"/>
        <v>8.0541348582966465E-3</v>
      </c>
    </row>
    <row r="58" spans="1:4" x14ac:dyDescent="0.45">
      <c r="A58">
        <v>1.3517410479835235E-2</v>
      </c>
      <c r="B58">
        <f t="shared" si="1"/>
        <v>1.8272038608035943E-4</v>
      </c>
      <c r="D58">
        <f t="shared" si="0"/>
        <v>8.478036692943839E-3</v>
      </c>
    </row>
    <row r="59" spans="1:4" x14ac:dyDescent="0.45">
      <c r="A59">
        <v>2.7837586458190344E-3</v>
      </c>
      <c r="B59">
        <f t="shared" si="1"/>
        <v>7.7493121981722247E-6</v>
      </c>
      <c r="D59">
        <f t="shared" si="0"/>
        <v>8.9242491504671999E-3</v>
      </c>
    </row>
    <row r="60" spans="1:4" x14ac:dyDescent="0.45">
      <c r="A60">
        <v>3.683567229018081E-3</v>
      </c>
      <c r="B60">
        <f t="shared" si="1"/>
        <v>1.3568667530695944E-5</v>
      </c>
      <c r="D60">
        <f t="shared" si="0"/>
        <v>9.3939464741760008E-3</v>
      </c>
    </row>
    <row r="61" spans="1:4" x14ac:dyDescent="0.45">
      <c r="A61">
        <v>1.4716442819917575E-2</v>
      </c>
      <c r="B61">
        <f t="shared" si="1"/>
        <v>2.1657368927190354E-4</v>
      </c>
      <c r="D61">
        <f t="shared" si="0"/>
        <v>9.8883647096589481E-3</v>
      </c>
    </row>
    <row r="62" spans="1:4" x14ac:dyDescent="0.45">
      <c r="A62">
        <v>-1.3069529813947156E-2</v>
      </c>
      <c r="B62">
        <f t="shared" si="1"/>
        <v>1.708126095576536E-4</v>
      </c>
      <c r="D62">
        <f t="shared" si="0"/>
        <v>1.0408804957535735E-2</v>
      </c>
    </row>
    <row r="63" spans="1:4" x14ac:dyDescent="0.45">
      <c r="A63">
        <v>-8.6282625488820486E-4</v>
      </c>
      <c r="B63">
        <f t="shared" si="1"/>
        <v>7.4446914612440544E-7</v>
      </c>
      <c r="D63">
        <f t="shared" si="0"/>
        <v>1.0956636797406038E-2</v>
      </c>
    </row>
    <row r="64" spans="1:4" x14ac:dyDescent="0.45">
      <c r="A64">
        <v>-1.6906028577068355E-3</v>
      </c>
      <c r="B64">
        <f t="shared" si="1"/>
        <v>2.8581380224865186E-6</v>
      </c>
      <c r="D64">
        <f t="shared" si="0"/>
        <v>1.1533301892006355E-2</v>
      </c>
    </row>
    <row r="65" spans="1:4" x14ac:dyDescent="0.45">
      <c r="A65">
        <v>6.7484961618902162E-3</v>
      </c>
      <c r="B65">
        <f t="shared" si="1"/>
        <v>4.554220044704698E-5</v>
      </c>
      <c r="D65">
        <f t="shared" si="0"/>
        <v>1.2140317781059323E-2</v>
      </c>
    </row>
    <row r="66" spans="1:4" x14ac:dyDescent="0.45">
      <c r="A66">
        <v>-5.5511691243737005E-3</v>
      </c>
      <c r="B66">
        <f t="shared" si="1"/>
        <v>3.0815478647399875E-5</v>
      </c>
      <c r="D66">
        <f t="shared" ref="D66:D129" si="2">D67*$E$1</f>
        <v>1.2779281874799287E-2</v>
      </c>
    </row>
    <row r="67" spans="1:4" x14ac:dyDescent="0.45">
      <c r="A67">
        <v>-6.5955873651546426E-3</v>
      </c>
      <c r="B67">
        <f t="shared" ref="B67:B130" si="3">A67^2</f>
        <v>4.3501772691387561E-5</v>
      </c>
      <c r="D67">
        <f t="shared" si="2"/>
        <v>1.345187565768346E-2</v>
      </c>
    </row>
    <row r="68" spans="1:4" x14ac:dyDescent="0.45">
      <c r="A68">
        <v>1.5586329027428292E-2</v>
      </c>
      <c r="B68">
        <f t="shared" si="3"/>
        <v>2.4293365255125376E-4</v>
      </c>
      <c r="D68">
        <f t="shared" si="2"/>
        <v>1.4159869113351011E-2</v>
      </c>
    </row>
    <row r="69" spans="1:4" x14ac:dyDescent="0.45">
      <c r="A69">
        <v>3.6762003219337203E-3</v>
      </c>
      <c r="B69">
        <f t="shared" si="3"/>
        <v>1.3514448806985589E-5</v>
      </c>
      <c r="D69">
        <f t="shared" si="2"/>
        <v>1.490512538247475E-2</v>
      </c>
    </row>
    <row r="70" spans="1:4" x14ac:dyDescent="0.45">
      <c r="A70">
        <v>-7.113249012036249E-3</v>
      </c>
      <c r="B70">
        <f t="shared" si="3"/>
        <v>5.0598311507234672E-5</v>
      </c>
      <c r="D70">
        <f t="shared" si="2"/>
        <v>1.5689605665762895E-2</v>
      </c>
    </row>
    <row r="71" spans="1:4" x14ac:dyDescent="0.45">
      <c r="A71">
        <v>1.2254531611688435E-2</v>
      </c>
      <c r="B71">
        <f t="shared" si="3"/>
        <v>1.5017354502187114E-4</v>
      </c>
      <c r="D71">
        <f t="shared" si="2"/>
        <v>1.6515374385013576E-2</v>
      </c>
    </row>
    <row r="72" spans="1:4" x14ac:dyDescent="0.45">
      <c r="A72">
        <v>-4.6488821681123227E-4</v>
      </c>
      <c r="B72">
        <f t="shared" si="3"/>
        <v>2.161210541299273E-7</v>
      </c>
      <c r="D72">
        <f t="shared" si="2"/>
        <v>1.7384604615803764E-2</v>
      </c>
    </row>
    <row r="73" spans="1:4" x14ac:dyDescent="0.45">
      <c r="A73">
        <v>-2.6249108486808836E-2</v>
      </c>
      <c r="B73">
        <f t="shared" si="3"/>
        <v>6.8901569635225967E-4</v>
      </c>
      <c r="D73">
        <f t="shared" si="2"/>
        <v>1.8299583806109226E-2</v>
      </c>
    </row>
    <row r="74" spans="1:4" x14ac:dyDescent="0.45">
      <c r="A74">
        <v>-7.166568138927687E-3</v>
      </c>
      <c r="B74">
        <f t="shared" si="3"/>
        <v>5.1359698889893448E-5</v>
      </c>
      <c r="D74">
        <f t="shared" si="2"/>
        <v>1.9262719795904448E-2</v>
      </c>
    </row>
    <row r="75" spans="1:4" x14ac:dyDescent="0.45">
      <c r="A75">
        <v>1.2968257578904741E-3</v>
      </c>
      <c r="B75">
        <f t="shared" si="3"/>
        <v>1.6817570463282024E-6</v>
      </c>
      <c r="D75">
        <f t="shared" si="2"/>
        <v>2.0276547153583631E-2</v>
      </c>
    </row>
    <row r="76" spans="1:4" x14ac:dyDescent="0.45">
      <c r="A76">
        <v>9.3189555627759546E-3</v>
      </c>
      <c r="B76">
        <f t="shared" si="3"/>
        <v>8.6842932780992915E-5</v>
      </c>
      <c r="D76">
        <f t="shared" si="2"/>
        <v>2.1343733845877507E-2</v>
      </c>
    </row>
    <row r="77" spans="1:4" x14ac:dyDescent="0.45">
      <c r="A77">
        <v>-1.3118187780492008E-2</v>
      </c>
      <c r="B77">
        <f t="shared" si="3"/>
        <v>1.7208685064424981E-4</v>
      </c>
      <c r="D77">
        <f t="shared" si="2"/>
        <v>2.2467088258818428E-2</v>
      </c>
    </row>
    <row r="78" spans="1:4" x14ac:dyDescent="0.45">
      <c r="A78">
        <v>-5.2968289310229011E-3</v>
      </c>
      <c r="B78">
        <f t="shared" si="3"/>
        <v>2.8056396724521209E-5</v>
      </c>
      <c r="D78">
        <f t="shared" si="2"/>
        <v>2.3649566588229927E-2</v>
      </c>
    </row>
    <row r="79" spans="1:4" x14ac:dyDescent="0.45">
      <c r="A79">
        <v>-5.2107679948676378E-3</v>
      </c>
      <c r="B79">
        <f t="shared" si="3"/>
        <v>2.7152103096336901E-5</v>
      </c>
      <c r="D79">
        <f t="shared" si="2"/>
        <v>2.4894280619189399E-2</v>
      </c>
    </row>
    <row r="80" spans="1:4" x14ac:dyDescent="0.45">
      <c r="A80">
        <v>2.047690941253677E-2</v>
      </c>
      <c r="B80">
        <f t="shared" si="3"/>
        <v>4.1930381908923697E-4</v>
      </c>
      <c r="D80">
        <f t="shared" si="2"/>
        <v>2.620450591493621E-2</v>
      </c>
    </row>
    <row r="81" spans="1:4" x14ac:dyDescent="0.45">
      <c r="A81">
        <v>8.4504790720529854E-3</v>
      </c>
      <c r="B81">
        <f t="shared" si="3"/>
        <v>7.1410596547205482E-5</v>
      </c>
      <c r="D81">
        <f t="shared" si="2"/>
        <v>2.7583690436774957E-2</v>
      </c>
    </row>
    <row r="82" spans="1:4" x14ac:dyDescent="0.45">
      <c r="A82">
        <v>2.1229880076134577E-4</v>
      </c>
      <c r="B82">
        <f t="shared" si="3"/>
        <v>4.5070780804705589E-8</v>
      </c>
      <c r="D82">
        <f t="shared" si="2"/>
        <v>2.9035463617657853E-2</v>
      </c>
    </row>
    <row r="83" spans="1:4" x14ac:dyDescent="0.45">
      <c r="A83">
        <v>-1.0505482350708917E-2</v>
      </c>
      <c r="B83">
        <f t="shared" si="3"/>
        <v>1.1036515942105655E-4</v>
      </c>
      <c r="D83">
        <f t="shared" si="2"/>
        <v>3.0563645913324056E-2</v>
      </c>
    </row>
    <row r="84" spans="1:4" x14ac:dyDescent="0.45">
      <c r="A84">
        <v>3.1788431442691945E-3</v>
      </c>
      <c r="B84">
        <f t="shared" si="3"/>
        <v>1.0105043735867259E-5</v>
      </c>
      <c r="D84">
        <f t="shared" si="2"/>
        <v>3.2172258856130585E-2</v>
      </c>
    </row>
    <row r="85" spans="1:4" x14ac:dyDescent="0.45">
      <c r="A85">
        <v>-3.3780906960600987E-4</v>
      </c>
      <c r="B85">
        <f t="shared" si="3"/>
        <v>1.1411496750807802E-7</v>
      </c>
      <c r="D85">
        <f t="shared" si="2"/>
        <v>3.3865535638032199E-2</v>
      </c>
    </row>
    <row r="86" spans="1:4" x14ac:dyDescent="0.45">
      <c r="A86">
        <v>-1.3312364899320528E-2</v>
      </c>
      <c r="B86">
        <f t="shared" si="3"/>
        <v>1.7721905921266125E-4</v>
      </c>
      <c r="D86">
        <f t="shared" si="2"/>
        <v>3.5647932250560212E-2</v>
      </c>
    </row>
    <row r="87" spans="1:4" x14ac:dyDescent="0.45">
      <c r="A87">
        <v>1.91125764104072E-2</v>
      </c>
      <c r="B87">
        <f t="shared" si="3"/>
        <v>3.6529057704365379E-4</v>
      </c>
      <c r="D87">
        <f t="shared" si="2"/>
        <v>3.7524139211116012E-2</v>
      </c>
    </row>
    <row r="88" spans="1:4" x14ac:dyDescent="0.45">
      <c r="A88">
        <v>1.5793284546816722E-2</v>
      </c>
      <c r="B88">
        <f t="shared" si="3"/>
        <v>2.4942783677671984E-4</v>
      </c>
      <c r="D88">
        <f t="shared" si="2"/>
        <v>3.949909390643791E-2</v>
      </c>
    </row>
    <row r="89" spans="1:4" x14ac:dyDescent="0.45">
      <c r="A89">
        <v>2.4772703000053298E-3</v>
      </c>
      <c r="B89">
        <f t="shared" si="3"/>
        <v>6.1368681392884962E-6</v>
      </c>
      <c r="D89">
        <f t="shared" si="2"/>
        <v>4.1577993585724116E-2</v>
      </c>
    </row>
    <row r="90" spans="1:4" x14ac:dyDescent="0.45">
      <c r="A90">
        <v>-7.7608774518012069E-3</v>
      </c>
      <c r="B90">
        <f t="shared" si="3"/>
        <v>6.0231218821876397E-5</v>
      </c>
      <c r="D90">
        <f t="shared" si="2"/>
        <v>4.3766309037604333E-2</v>
      </c>
    </row>
    <row r="91" spans="1:4" x14ac:dyDescent="0.45">
      <c r="A91">
        <v>-7.3227056418545544E-3</v>
      </c>
      <c r="B91">
        <f t="shared" si="3"/>
        <v>5.3622017917248518E-5</v>
      </c>
      <c r="D91">
        <f t="shared" si="2"/>
        <v>4.6069798986951932E-2</v>
      </c>
    </row>
    <row r="92" spans="1:4" x14ac:dyDescent="0.45">
      <c r="A92">
        <v>-9.9016688182018697E-3</v>
      </c>
      <c r="B92">
        <f t="shared" si="3"/>
        <v>9.8043045385351208E-5</v>
      </c>
      <c r="D92">
        <f t="shared" si="2"/>
        <v>4.849452524942309E-2</v>
      </c>
    </row>
    <row r="93" spans="1:4" x14ac:dyDescent="0.45">
      <c r="A93">
        <v>-9.2671143647748977E-3</v>
      </c>
      <c r="B93">
        <f t="shared" si="3"/>
        <v>8.5879408649817255E-5</v>
      </c>
      <c r="D93">
        <f t="shared" si="2"/>
        <v>5.1046868683603253E-2</v>
      </c>
    </row>
    <row r="94" spans="1:4" x14ac:dyDescent="0.45">
      <c r="A94">
        <v>-1.3145381672075018E-2</v>
      </c>
      <c r="B94">
        <f t="shared" si="3"/>
        <v>1.728010593045258E-4</v>
      </c>
      <c r="D94">
        <f t="shared" si="2"/>
        <v>5.3733545982740265E-2</v>
      </c>
    </row>
    <row r="95" spans="1:4" x14ac:dyDescent="0.45">
      <c r="A95">
        <v>9.2718209998565726E-3</v>
      </c>
      <c r="B95">
        <f t="shared" si="3"/>
        <v>8.5966664653381334E-5</v>
      </c>
      <c r="D95">
        <f t="shared" si="2"/>
        <v>5.6561627350252913E-2</v>
      </c>
    </row>
    <row r="96" spans="1:4" x14ac:dyDescent="0.45">
      <c r="A96">
        <v>1.6518242773599923E-3</v>
      </c>
      <c r="B96">
        <f t="shared" si="3"/>
        <v>2.7285234432758607E-6</v>
      </c>
      <c r="D96">
        <f t="shared" si="2"/>
        <v>5.9538555105529384E-2</v>
      </c>
    </row>
    <row r="97" spans="1:4" x14ac:dyDescent="0.45">
      <c r="A97">
        <v>1.5547811926808208E-2</v>
      </c>
      <c r="B97">
        <f t="shared" si="3"/>
        <v>2.4173445571139957E-4</v>
      </c>
      <c r="D97">
        <f t="shared" si="2"/>
        <v>6.2672163268978301E-2</v>
      </c>
    </row>
    <row r="98" spans="1:4" x14ac:dyDescent="0.45">
      <c r="A98">
        <v>-3.951811322622234E-3</v>
      </c>
      <c r="B98">
        <f t="shared" si="3"/>
        <v>1.5616812729605289E-5</v>
      </c>
      <c r="D98">
        <f t="shared" si="2"/>
        <v>6.5970698177871906E-2</v>
      </c>
    </row>
    <row r="99" spans="1:4" x14ac:dyDescent="0.45">
      <c r="A99">
        <v>-1.846487975853961E-2</v>
      </c>
      <c r="B99">
        <f t="shared" si="3"/>
        <v>3.4095178449732581E-4</v>
      </c>
      <c r="D99">
        <f t="shared" si="2"/>
        <v>6.9442840187233595E-2</v>
      </c>
    </row>
    <row r="100" spans="1:4" x14ac:dyDescent="0.45">
      <c r="A100">
        <v>-5.8990508478018455E-3</v>
      </c>
      <c r="B100">
        <f t="shared" si="3"/>
        <v>3.4798800904951674E-5</v>
      </c>
      <c r="D100">
        <f t="shared" si="2"/>
        <v>7.3097726512877478E-2</v>
      </c>
    </row>
    <row r="101" spans="1:4" x14ac:dyDescent="0.45">
      <c r="A101">
        <v>-1.4424540495383553E-2</v>
      </c>
      <c r="B101">
        <f t="shared" si="3"/>
        <v>2.0806736850296001E-4</v>
      </c>
      <c r="D101">
        <f t="shared" si="2"/>
        <v>7.6944975276713137E-2</v>
      </c>
    </row>
    <row r="102" spans="1:4" x14ac:dyDescent="0.45">
      <c r="A102">
        <v>-6.5187578002223745E-3</v>
      </c>
      <c r="B102">
        <f t="shared" si="3"/>
        <v>4.2494203257960054E-5</v>
      </c>
      <c r="D102">
        <f t="shared" si="2"/>
        <v>8.0994710817592783E-2</v>
      </c>
    </row>
    <row r="103" spans="1:4" x14ac:dyDescent="0.45">
      <c r="A103">
        <v>1.9517665350576863E-2</v>
      </c>
      <c r="B103">
        <f t="shared" si="3"/>
        <v>3.8093926073710867E-4</v>
      </c>
      <c r="D103">
        <f t="shared" si="2"/>
        <v>8.52575903343082E-2</v>
      </c>
    </row>
    <row r="104" spans="1:4" x14ac:dyDescent="0.45">
      <c r="A104">
        <v>1.7534944163344335E-3</v>
      </c>
      <c r="B104">
        <f t="shared" si="3"/>
        <v>3.0747426681160356E-6</v>
      </c>
      <c r="D104">
        <f t="shared" si="2"/>
        <v>8.9744831930850741E-2</v>
      </c>
    </row>
    <row r="105" spans="1:4" x14ac:dyDescent="0.45">
      <c r="A105">
        <v>-2.111255525960587E-3</v>
      </c>
      <c r="B105">
        <f t="shared" si="3"/>
        <v>4.4573998958991145E-6</v>
      </c>
      <c r="D105">
        <f t="shared" si="2"/>
        <v>9.446824413773762E-2</v>
      </c>
    </row>
    <row r="106" spans="1:4" x14ac:dyDescent="0.45">
      <c r="A106">
        <v>1.0898816071858164E-2</v>
      </c>
      <c r="B106">
        <f t="shared" si="3"/>
        <v>1.1878419176819382E-4</v>
      </c>
      <c r="D106">
        <f t="shared" si="2"/>
        <v>9.9440256987092232E-2</v>
      </c>
    </row>
    <row r="107" spans="1:4" x14ac:dyDescent="0.45">
      <c r="A107">
        <v>-2.0284119273128454E-3</v>
      </c>
      <c r="B107">
        <f t="shared" si="3"/>
        <v>4.1144549468650121E-6</v>
      </c>
      <c r="D107">
        <f t="shared" si="2"/>
        <v>0.10467395472325498</v>
      </c>
    </row>
    <row r="108" spans="1:4" x14ac:dyDescent="0.45">
      <c r="A108">
        <v>-2.6496854843571782E-2</v>
      </c>
      <c r="B108">
        <f t="shared" si="3"/>
        <v>7.0208331660131336E-4</v>
      </c>
      <c r="D108">
        <f t="shared" si="2"/>
        <v>0.11018311023500525</v>
      </c>
    </row>
    <row r="109" spans="1:4" x14ac:dyDescent="0.45">
      <c r="A109">
        <v>-1.0069175004900899E-2</v>
      </c>
      <c r="B109">
        <f t="shared" si="3"/>
        <v>1.0138828527932101E-4</v>
      </c>
      <c r="D109">
        <f t="shared" si="2"/>
        <v>0.11598222130000553</v>
      </c>
    </row>
    <row r="110" spans="1:4" x14ac:dyDescent="0.45">
      <c r="A110">
        <v>-1.3122644304530695E-3</v>
      </c>
      <c r="B110">
        <f t="shared" si="3"/>
        <v>1.7220379354323189E-6</v>
      </c>
      <c r="D110">
        <f t="shared" si="2"/>
        <v>0.12208654873684793</v>
      </c>
    </row>
    <row r="111" spans="1:4" x14ac:dyDescent="0.45">
      <c r="A111">
        <v>-1.9784692995017394E-3</v>
      </c>
      <c r="B111">
        <f t="shared" si="3"/>
        <v>3.9143407690709034E-6</v>
      </c>
      <c r="D111">
        <f t="shared" si="2"/>
        <v>0.12851215656510309</v>
      </c>
    </row>
    <row r="112" spans="1:4" x14ac:dyDescent="0.45">
      <c r="A112">
        <v>-9.3059725259081461E-3</v>
      </c>
      <c r="B112">
        <f t="shared" si="3"/>
        <v>8.6601124652957234E-5</v>
      </c>
      <c r="D112">
        <f t="shared" si="2"/>
        <v>0.13527595427905589</v>
      </c>
    </row>
    <row r="113" spans="1:4" x14ac:dyDescent="0.45">
      <c r="A113">
        <v>6.5036374508053996E-3</v>
      </c>
      <c r="B113">
        <f t="shared" si="3"/>
        <v>4.2297300091518555E-5</v>
      </c>
      <c r="D113">
        <f t="shared" si="2"/>
        <v>0.14239574134637464</v>
      </c>
    </row>
    <row r="114" spans="1:4" x14ac:dyDescent="0.45">
      <c r="A114">
        <v>-4.021103450213559E-4</v>
      </c>
      <c r="B114">
        <f t="shared" si="3"/>
        <v>1.6169272957319388E-7</v>
      </c>
      <c r="D114">
        <f t="shared" si="2"/>
        <v>0.14989025404881542</v>
      </c>
    </row>
    <row r="115" spans="1:4" x14ac:dyDescent="0.45">
      <c r="A115">
        <v>3.8585199035878759E-3</v>
      </c>
      <c r="B115">
        <f t="shared" si="3"/>
        <v>1.488817584638379E-5</v>
      </c>
      <c r="D115">
        <f t="shared" si="2"/>
        <v>0.15777921478822676</v>
      </c>
    </row>
    <row r="116" spans="1:4" x14ac:dyDescent="0.45">
      <c r="A116">
        <v>-4.1202838474418968E-3</v>
      </c>
      <c r="B116">
        <f t="shared" si="3"/>
        <v>1.6976738983490599E-5</v>
      </c>
      <c r="D116">
        <f t="shared" si="2"/>
        <v>0.16608338398760714</v>
      </c>
    </row>
    <row r="117" spans="1:4" x14ac:dyDescent="0.45">
      <c r="A117">
        <v>-1.1952192835451569E-2</v>
      </c>
      <c r="B117">
        <f t="shared" si="3"/>
        <v>1.4285491357581982E-4</v>
      </c>
      <c r="D117">
        <f t="shared" si="2"/>
        <v>0.17482461472379698</v>
      </c>
    </row>
    <row r="118" spans="1:4" x14ac:dyDescent="0.45">
      <c r="A118">
        <v>4.1359271563123912E-4</v>
      </c>
      <c r="B118">
        <f t="shared" si="3"/>
        <v>1.7105893442322303E-7</v>
      </c>
      <c r="D118">
        <f t="shared" si="2"/>
        <v>0.18402591023557577</v>
      </c>
    </row>
    <row r="119" spans="1:4" x14ac:dyDescent="0.45">
      <c r="A119">
        <v>9.7590600489638746E-3</v>
      </c>
      <c r="B119">
        <f t="shared" si="3"/>
        <v>9.5239253039282779E-5</v>
      </c>
      <c r="D119">
        <f t="shared" si="2"/>
        <v>0.19371148445850081</v>
      </c>
    </row>
    <row r="120" spans="1:4" x14ac:dyDescent="0.45">
      <c r="A120">
        <v>5.3461917559616268E-3</v>
      </c>
      <c r="B120">
        <f t="shared" si="3"/>
        <v>2.8581766291512062E-5</v>
      </c>
      <c r="D120">
        <f t="shared" si="2"/>
        <v>0.20390682574579033</v>
      </c>
    </row>
    <row r="121" spans="1:4" x14ac:dyDescent="0.45">
      <c r="A121">
        <v>1.8226182874059305E-2</v>
      </c>
      <c r="B121">
        <f t="shared" si="3"/>
        <v>3.3219374215865267E-4</v>
      </c>
      <c r="D121">
        <f t="shared" si="2"/>
        <v>0.21463876394293721</v>
      </c>
    </row>
    <row r="122" spans="1:4" x14ac:dyDescent="0.45">
      <c r="A122">
        <v>-1.5941441233735532E-2</v>
      </c>
      <c r="B122">
        <f t="shared" si="3"/>
        <v>2.5412954860864345E-4</v>
      </c>
      <c r="D122">
        <f t="shared" si="2"/>
        <v>0.22593554099256549</v>
      </c>
    </row>
    <row r="123" spans="1:4" x14ac:dyDescent="0.45">
      <c r="A123">
        <v>-7.4261151894461364E-3</v>
      </c>
      <c r="B123">
        <f t="shared" si="3"/>
        <v>5.5147186806922625E-5</v>
      </c>
      <c r="D123">
        <f t="shared" si="2"/>
        <v>0.2378268852553321</v>
      </c>
    </row>
    <row r="124" spans="1:4" x14ac:dyDescent="0.45">
      <c r="A124">
        <v>4.2983174353139475E-3</v>
      </c>
      <c r="B124">
        <f t="shared" si="3"/>
        <v>1.8475532774723873E-5</v>
      </c>
      <c r="D124">
        <f t="shared" si="2"/>
        <v>0.25034408974245487</v>
      </c>
    </row>
    <row r="125" spans="1:4" x14ac:dyDescent="0.45">
      <c r="A125">
        <v>-1.1413339962018654E-2</v>
      </c>
      <c r="B125">
        <f t="shared" si="3"/>
        <v>1.3026432908861196E-4</v>
      </c>
      <c r="D125">
        <f t="shared" si="2"/>
        <v>0.26352009446574198</v>
      </c>
    </row>
    <row r="126" spans="1:4" x14ac:dyDescent="0.45">
      <c r="A126">
        <v>2.2662061383016407E-2</v>
      </c>
      <c r="B126">
        <f t="shared" si="3"/>
        <v>5.1356902612760351E-4</v>
      </c>
      <c r="D126">
        <f t="shared" si="2"/>
        <v>0.27738957312183365</v>
      </c>
    </row>
    <row r="127" spans="1:4" x14ac:dyDescent="0.45">
      <c r="A127">
        <v>-2.7657733880914748E-4</v>
      </c>
      <c r="B127">
        <f t="shared" si="3"/>
        <v>7.6495024342749955E-8</v>
      </c>
      <c r="D127">
        <f t="shared" si="2"/>
        <v>0.29198902433877227</v>
      </c>
    </row>
    <row r="128" spans="1:4" x14ac:dyDescent="0.45">
      <c r="A128">
        <v>8.0833615356823429E-3</v>
      </c>
      <c r="B128">
        <f t="shared" si="3"/>
        <v>6.5340733716548802E-5</v>
      </c>
      <c r="D128">
        <f t="shared" si="2"/>
        <v>0.30735686772502346</v>
      </c>
    </row>
    <row r="129" spans="1:4" x14ac:dyDescent="0.45">
      <c r="A129">
        <v>8.4341081674210727E-3</v>
      </c>
      <c r="B129">
        <f t="shared" si="3"/>
        <v>7.1134180579758842E-5</v>
      </c>
      <c r="D129">
        <f t="shared" si="2"/>
        <v>0.3235335449737089</v>
      </c>
    </row>
    <row r="130" spans="1:4" x14ac:dyDescent="0.45">
      <c r="A130">
        <v>1.2451664588297717E-3</v>
      </c>
      <c r="B130">
        <f t="shared" si="3"/>
        <v>1.5504395101946736E-6</v>
      </c>
      <c r="D130">
        <f t="shared" ref="D130:D148" si="4">D131*$E$1</f>
        <v>0.34056162628811465</v>
      </c>
    </row>
    <row r="131" spans="1:4" x14ac:dyDescent="0.45">
      <c r="A131">
        <v>1.263281319552334E-2</v>
      </c>
      <c r="B131">
        <f t="shared" ref="B131:B194" si="5">A131^2</f>
        <v>1.5958796923298862E-4</v>
      </c>
      <c r="D131">
        <f t="shared" si="4"/>
        <v>0.35848592240854177</v>
      </c>
    </row>
    <row r="132" spans="1:4" x14ac:dyDescent="0.45">
      <c r="A132">
        <v>7.6753622124670073E-3</v>
      </c>
      <c r="B132">
        <f t="shared" si="5"/>
        <v>5.8911185092566435E-5</v>
      </c>
      <c r="D132">
        <f t="shared" si="4"/>
        <v>0.37735360253530714</v>
      </c>
    </row>
    <row r="133" spans="1:4" x14ac:dyDescent="0.45">
      <c r="A133">
        <v>6.5263293436146341E-3</v>
      </c>
      <c r="B133">
        <f t="shared" si="5"/>
        <v>4.2592974701325424E-5</v>
      </c>
      <c r="D133">
        <f t="shared" si="4"/>
        <v>0.39721431845821809</v>
      </c>
    </row>
    <row r="134" spans="1:4" x14ac:dyDescent="0.45">
      <c r="A134">
        <v>-3.0848468668409623E-3</v>
      </c>
      <c r="B134">
        <f t="shared" si="5"/>
        <v>9.5162801918585014E-6</v>
      </c>
      <c r="D134">
        <f t="shared" si="4"/>
        <v>0.41812033521917696</v>
      </c>
    </row>
    <row r="135" spans="1:4" x14ac:dyDescent="0.45">
      <c r="A135">
        <v>-5.0319613364990801E-3</v>
      </c>
      <c r="B135">
        <f t="shared" si="5"/>
        <v>2.5320634892021607E-5</v>
      </c>
      <c r="D135">
        <f t="shared" si="4"/>
        <v>0.44012666865176525</v>
      </c>
    </row>
    <row r="136" spans="1:4" x14ac:dyDescent="0.45">
      <c r="A136">
        <v>-6.9623411036445759E-3</v>
      </c>
      <c r="B136">
        <f t="shared" si="5"/>
        <v>4.8474193643498768E-5</v>
      </c>
      <c r="D136">
        <f t="shared" si="4"/>
        <v>0.46329123015975293</v>
      </c>
    </row>
    <row r="137" spans="1:4" x14ac:dyDescent="0.45">
      <c r="A137">
        <v>-1.3923272490501404E-2</v>
      </c>
      <c r="B137">
        <f t="shared" si="5"/>
        <v>1.9385751684475316E-4</v>
      </c>
      <c r="D137">
        <f t="shared" si="4"/>
        <v>0.48767497911552943</v>
      </c>
    </row>
    <row r="138" spans="1:4" x14ac:dyDescent="0.45">
      <c r="A138">
        <v>5.1766164688160643E-3</v>
      </c>
      <c r="B138">
        <f t="shared" si="5"/>
        <v>2.6797358065217699E-5</v>
      </c>
      <c r="D138">
        <f t="shared" si="4"/>
        <v>0.5133420832795047</v>
      </c>
    </row>
    <row r="139" spans="1:4" x14ac:dyDescent="0.45">
      <c r="A139">
        <v>6.5822860051412135E-3</v>
      </c>
      <c r="B139">
        <f t="shared" si="5"/>
        <v>4.3326489053477875E-5</v>
      </c>
      <c r="D139">
        <f t="shared" si="4"/>
        <v>0.54036008766263655</v>
      </c>
    </row>
    <row r="140" spans="1:4" x14ac:dyDescent="0.45">
      <c r="A140">
        <v>1.2266582416486926E-3</v>
      </c>
      <c r="B140">
        <f t="shared" si="5"/>
        <v>1.5046904418046624E-6</v>
      </c>
      <c r="D140">
        <f t="shared" si="4"/>
        <v>0.56880009227645956</v>
      </c>
    </row>
    <row r="141" spans="1:4" x14ac:dyDescent="0.45">
      <c r="A141">
        <v>1.3736166692979168E-2</v>
      </c>
      <c r="B141">
        <f t="shared" si="5"/>
        <v>1.8868227541731026E-4</v>
      </c>
      <c r="D141">
        <f t="shared" si="4"/>
        <v>0.59873693923837856</v>
      </c>
    </row>
    <row r="142" spans="1:4" x14ac:dyDescent="0.45">
      <c r="A142">
        <v>-1.0968346941808704E-2</v>
      </c>
      <c r="B142">
        <f t="shared" si="5"/>
        <v>1.2030463463588435E-4</v>
      </c>
      <c r="D142">
        <f t="shared" si="4"/>
        <v>0.63024940972460908</v>
      </c>
    </row>
    <row r="143" spans="1:4" x14ac:dyDescent="0.45">
      <c r="A143">
        <v>-1.7017146092257462E-2</v>
      </c>
      <c r="B143">
        <f t="shared" si="5"/>
        <v>2.8958326112523341E-4</v>
      </c>
      <c r="D143">
        <f t="shared" si="4"/>
        <v>0.66342043128906225</v>
      </c>
    </row>
    <row r="144" spans="1:4" x14ac:dyDescent="0.45">
      <c r="A144">
        <v>1.9317667465656996E-4</v>
      </c>
      <c r="B144">
        <f t="shared" si="5"/>
        <v>3.7317227631370278E-8</v>
      </c>
      <c r="D144">
        <f t="shared" si="4"/>
        <v>0.69833729609374973</v>
      </c>
    </row>
    <row r="145" spans="1:9" x14ac:dyDescent="0.45">
      <c r="A145">
        <v>-3.855222985293949E-3</v>
      </c>
      <c r="B145">
        <f t="shared" si="5"/>
        <v>1.4862744266338788E-5</v>
      </c>
      <c r="D145">
        <f t="shared" si="4"/>
        <v>0.7350918906249998</v>
      </c>
    </row>
    <row r="146" spans="1:9" x14ac:dyDescent="0.45">
      <c r="A146">
        <v>-6.9506540967267938E-3</v>
      </c>
      <c r="B146">
        <f t="shared" si="5"/>
        <v>4.8311592372344962E-5</v>
      </c>
      <c r="D146">
        <f t="shared" si="4"/>
        <v>0.77378093749999988</v>
      </c>
    </row>
    <row r="147" spans="1:9" x14ac:dyDescent="0.45">
      <c r="A147">
        <v>-1.2089344636478927E-3</v>
      </c>
      <c r="B147">
        <f t="shared" si="5"/>
        <v>1.461522537395618E-6</v>
      </c>
      <c r="D147">
        <f t="shared" si="4"/>
        <v>0.81450624999999988</v>
      </c>
    </row>
    <row r="148" spans="1:9" x14ac:dyDescent="0.45">
      <c r="A148">
        <v>-8.0748804975883104E-3</v>
      </c>
      <c r="B148">
        <f t="shared" si="5"/>
        <v>6.5203695050332033E-5</v>
      </c>
      <c r="D148">
        <f t="shared" si="4"/>
        <v>0.85737499999999989</v>
      </c>
    </row>
    <row r="149" spans="1:9" x14ac:dyDescent="0.45">
      <c r="A149">
        <v>-1.0957182894344442E-2</v>
      </c>
      <c r="B149">
        <f t="shared" si="5"/>
        <v>1.2005985698011443E-4</v>
      </c>
      <c r="D149">
        <f>D150*$E$1</f>
        <v>0.90249999999999997</v>
      </c>
    </row>
    <row r="150" spans="1:9" x14ac:dyDescent="0.45">
      <c r="A150">
        <v>-8.1535517892916687E-3</v>
      </c>
      <c r="B150">
        <f t="shared" si="5"/>
        <v>6.6480406780661374E-5</v>
      </c>
      <c r="D150">
        <f>D151*$E$1</f>
        <v>0.95</v>
      </c>
    </row>
    <row r="151" spans="1:9" x14ac:dyDescent="0.45">
      <c r="A151">
        <v>2.0823222257604357E-3</v>
      </c>
      <c r="B151">
        <f t="shared" si="5"/>
        <v>4.3360658518958947E-6</v>
      </c>
      <c r="D151">
        <v>1</v>
      </c>
      <c r="H151" t="s">
        <v>4</v>
      </c>
      <c r="I151" t="s">
        <v>6</v>
      </c>
    </row>
    <row r="152" spans="1:9" x14ac:dyDescent="0.45">
      <c r="A152">
        <v>7.3397131927777082E-3</v>
      </c>
      <c r="B152">
        <f t="shared" si="5"/>
        <v>5.3871389752235138E-5</v>
      </c>
      <c r="E152">
        <f>(1-$E$1)*SUMPRODUCT($D$2:$D$151,B2:B151)</f>
        <v>8.4611471370923597E-5</v>
      </c>
      <c r="F152">
        <f>SQRT(E152)</f>
        <v>9.1984494003567573E-3</v>
      </c>
      <c r="G152" s="1">
        <f>F152*$H$1</f>
        <v>2.1386394855829462E-2</v>
      </c>
      <c r="H152">
        <f>G152*$H$2</f>
        <v>2138.6394855829462</v>
      </c>
      <c r="I152">
        <f>H152*SQRT($H$3)</f>
        <v>9564.2865382572982</v>
      </c>
    </row>
    <row r="153" spans="1:9" x14ac:dyDescent="0.45">
      <c r="A153">
        <v>1.3995077097206376E-3</v>
      </c>
      <c r="B153">
        <f t="shared" si="5"/>
        <v>1.9586218295675045E-6</v>
      </c>
      <c r="E153">
        <f>(1-$E$1)*SUMPRODUCT($D$2:$D$151,B3:B152)</f>
        <v>8.3071733289015722E-5</v>
      </c>
      <c r="F153">
        <f>SQRT(E153)</f>
        <v>9.1143696045867997E-3</v>
      </c>
      <c r="G153" s="1">
        <f t="shared" ref="G153:G216" si="6">F153*$H$1</f>
        <v>2.1190909330664309E-2</v>
      </c>
      <c r="H153">
        <f t="shared" ref="H153:H216" si="7">G153*$H$2</f>
        <v>2119.0909330664308</v>
      </c>
      <c r="I153">
        <f t="shared" ref="I153:I216" si="8">H153*SQRT($H$3)</f>
        <v>9476.8627536799922</v>
      </c>
    </row>
    <row r="154" spans="1:9" x14ac:dyDescent="0.45">
      <c r="A154">
        <v>9.236600817530416E-3</v>
      </c>
      <c r="B154">
        <f t="shared" si="5"/>
        <v>8.5314794662403552E-5</v>
      </c>
      <c r="E154">
        <f t="shared" ref="E154:E217" si="9">(1-$E$1)*SUMPRODUCT($D$2:$D$151,B4:B153)</f>
        <v>7.9015907101181442E-5</v>
      </c>
      <c r="F154">
        <f t="shared" ref="F154:F217" si="10">SQRT(E154)</f>
        <v>8.88908921662852E-3</v>
      </c>
      <c r="G154" s="1">
        <f t="shared" si="6"/>
        <v>2.0667132428661309E-2</v>
      </c>
      <c r="H154">
        <f t="shared" si="7"/>
        <v>2066.7132428661307</v>
      </c>
      <c r="I154">
        <f t="shared" si="8"/>
        <v>9242.6226020954018</v>
      </c>
    </row>
    <row r="155" spans="1:9" x14ac:dyDescent="0.45">
      <c r="A155">
        <v>3.8066559682192747E-3</v>
      </c>
      <c r="B155">
        <f t="shared" si="5"/>
        <v>1.4490629660379423E-5</v>
      </c>
      <c r="E155">
        <f t="shared" si="9"/>
        <v>7.9330827907965031E-5</v>
      </c>
      <c r="F155">
        <f t="shared" si="10"/>
        <v>8.9067854980326676E-3</v>
      </c>
      <c r="G155" s="1">
        <f t="shared" si="6"/>
        <v>2.0708276282925955E-2</v>
      </c>
      <c r="H155">
        <f t="shared" si="7"/>
        <v>2070.8276282925954</v>
      </c>
      <c r="I155">
        <f t="shared" si="8"/>
        <v>9261.0226930938206</v>
      </c>
    </row>
    <row r="156" spans="1:9" x14ac:dyDescent="0.45">
      <c r="A156">
        <v>-6.2728418015467469E-3</v>
      </c>
      <c r="B156">
        <f t="shared" si="5"/>
        <v>3.9348544267232239E-5</v>
      </c>
      <c r="E156">
        <f t="shared" si="9"/>
        <v>7.6088627692311235E-5</v>
      </c>
      <c r="F156">
        <f t="shared" si="10"/>
        <v>8.7228795527802185E-3</v>
      </c>
      <c r="G156" s="1">
        <f t="shared" si="6"/>
        <v>2.0280694960214011E-2</v>
      </c>
      <c r="H156">
        <f t="shared" si="7"/>
        <v>2028.0694960214012</v>
      </c>
      <c r="I156">
        <f t="shared" si="8"/>
        <v>9069.8025123951847</v>
      </c>
    </row>
    <row r="157" spans="1:9" x14ac:dyDescent="0.45">
      <c r="A157">
        <v>5.5877990234876052E-3</v>
      </c>
      <c r="B157">
        <f t="shared" si="5"/>
        <v>3.1223497926889034E-5</v>
      </c>
      <c r="E157">
        <f t="shared" si="9"/>
        <v>7.4249573546537602E-5</v>
      </c>
      <c r="F157">
        <f t="shared" si="10"/>
        <v>8.6168192244318095E-3</v>
      </c>
      <c r="G157" s="1">
        <f t="shared" si="6"/>
        <v>2.0034104696803959E-2</v>
      </c>
      <c r="H157">
        <f t="shared" si="7"/>
        <v>2003.4104696803959</v>
      </c>
      <c r="I157">
        <f t="shared" si="8"/>
        <v>8959.5239940802931</v>
      </c>
    </row>
    <row r="158" spans="1:9" x14ac:dyDescent="0.45">
      <c r="A158">
        <v>-7.4271270023018587E-3</v>
      </c>
      <c r="B158">
        <f t="shared" si="5"/>
        <v>5.5162215508321392E-5</v>
      </c>
      <c r="E158">
        <f t="shared" si="9"/>
        <v>7.2098269057265765E-5</v>
      </c>
      <c r="F158">
        <f t="shared" si="10"/>
        <v>8.4910699595083881E-3</v>
      </c>
      <c r="G158" s="1">
        <f t="shared" si="6"/>
        <v>1.9741737655857003E-2</v>
      </c>
      <c r="H158">
        <f t="shared" si="7"/>
        <v>1974.1737655857003</v>
      </c>
      <c r="I158">
        <f t="shared" si="8"/>
        <v>8828.7734784927216</v>
      </c>
    </row>
    <row r="159" spans="1:9" x14ac:dyDescent="0.45">
      <c r="A159">
        <v>-3.6099891076446511E-3</v>
      </c>
      <c r="B159">
        <f t="shared" si="5"/>
        <v>1.3032021357313025E-5</v>
      </c>
      <c r="E159">
        <f t="shared" si="9"/>
        <v>7.1246214777936134E-5</v>
      </c>
      <c r="F159">
        <f t="shared" si="10"/>
        <v>8.4407472878848897E-3</v>
      </c>
      <c r="G159" s="1">
        <f t="shared" si="6"/>
        <v>1.9624737444332369E-2</v>
      </c>
      <c r="H159">
        <f t="shared" si="7"/>
        <v>1962.473744433237</v>
      </c>
      <c r="I159">
        <f t="shared" si="8"/>
        <v>8776.4493932225359</v>
      </c>
    </row>
    <row r="160" spans="1:9" x14ac:dyDescent="0.45">
      <c r="A160">
        <v>4.4101852836320177E-3</v>
      </c>
      <c r="B160">
        <f t="shared" si="5"/>
        <v>1.944973423596442E-5</v>
      </c>
      <c r="E160">
        <f t="shared" si="9"/>
        <v>6.8334998741335091E-5</v>
      </c>
      <c r="F160">
        <f t="shared" si="10"/>
        <v>8.2664985780761552E-3</v>
      </c>
      <c r="G160" s="1">
        <f t="shared" si="6"/>
        <v>1.9219609194027064E-2</v>
      </c>
      <c r="H160">
        <f t="shared" si="7"/>
        <v>1921.9609194027064</v>
      </c>
      <c r="I160">
        <f t="shared" si="8"/>
        <v>8595.2705317648924</v>
      </c>
    </row>
    <row r="161" spans="1:9" x14ac:dyDescent="0.45">
      <c r="A161">
        <v>1.2451391739887185E-2</v>
      </c>
      <c r="B161">
        <f t="shared" si="5"/>
        <v>1.5503715626013082E-4</v>
      </c>
      <c r="E161">
        <f t="shared" si="9"/>
        <v>6.5890731488841485E-5</v>
      </c>
      <c r="F161">
        <f t="shared" si="10"/>
        <v>8.1173106068969346E-3</v>
      </c>
      <c r="G161" s="1">
        <f t="shared" si="6"/>
        <v>1.8872747161035375E-2</v>
      </c>
      <c r="H161">
        <f t="shared" si="7"/>
        <v>1887.2747161035375</v>
      </c>
      <c r="I161">
        <f t="shared" si="8"/>
        <v>8440.1491148482546</v>
      </c>
    </row>
    <row r="162" spans="1:9" x14ac:dyDescent="0.45">
      <c r="A162">
        <v>-9.1197307483525947E-4</v>
      </c>
      <c r="B162">
        <f t="shared" si="5"/>
        <v>8.3169488922447771E-7</v>
      </c>
      <c r="E162">
        <f t="shared" si="9"/>
        <v>7.0347939583955354E-5</v>
      </c>
      <c r="F162">
        <f t="shared" si="10"/>
        <v>8.3873678579131934E-3</v>
      </c>
      <c r="G162" s="1">
        <f t="shared" si="6"/>
        <v>1.9500630269648177E-2</v>
      </c>
      <c r="H162">
        <f t="shared" si="7"/>
        <v>1950.0630269648177</v>
      </c>
      <c r="I162">
        <f t="shared" si="8"/>
        <v>8720.9469774046756</v>
      </c>
    </row>
    <row r="163" spans="1:9" x14ac:dyDescent="0.45">
      <c r="A163">
        <v>-2.4386281438637525E-3</v>
      </c>
      <c r="B163">
        <f t="shared" si="5"/>
        <v>5.9469072240443707E-6</v>
      </c>
      <c r="E163">
        <f t="shared" si="9"/>
        <v>6.687181553035034E-5</v>
      </c>
      <c r="F163">
        <f t="shared" si="10"/>
        <v>8.1775189104245031E-3</v>
      </c>
      <c r="G163" s="1">
        <f t="shared" si="6"/>
        <v>1.901273146673697E-2</v>
      </c>
      <c r="H163">
        <f t="shared" si="7"/>
        <v>1901.2731466736971</v>
      </c>
      <c r="I163">
        <f t="shared" si="8"/>
        <v>8502.7519995146304</v>
      </c>
    </row>
    <row r="164" spans="1:9" x14ac:dyDescent="0.45">
      <c r="A164">
        <v>-1.9497110770316795E-2</v>
      </c>
      <c r="B164">
        <f t="shared" si="5"/>
        <v>3.8013732839000313E-4</v>
      </c>
      <c r="E164">
        <f t="shared" si="9"/>
        <v>6.3825125058729139E-5</v>
      </c>
      <c r="F164">
        <f t="shared" si="10"/>
        <v>7.989062839828533E-3</v>
      </c>
      <c r="G164" s="1">
        <f t="shared" si="6"/>
        <v>1.8574571102601342E-2</v>
      </c>
      <c r="H164">
        <f t="shared" si="7"/>
        <v>1857.4571102601342</v>
      </c>
      <c r="I164">
        <f t="shared" si="8"/>
        <v>8306.8007276639655</v>
      </c>
    </row>
    <row r="165" spans="1:9" x14ac:dyDescent="0.45">
      <c r="A165">
        <v>-1.0288772500643972E-2</v>
      </c>
      <c r="B165">
        <f t="shared" si="5"/>
        <v>1.0585883957000762E-4</v>
      </c>
      <c r="E165">
        <f t="shared" si="9"/>
        <v>7.9639392645505439E-5</v>
      </c>
      <c r="F165">
        <f t="shared" si="10"/>
        <v>8.9240905780648278E-3</v>
      </c>
      <c r="G165" s="1">
        <f t="shared" si="6"/>
        <v>2.0748510594000725E-2</v>
      </c>
      <c r="H165">
        <f t="shared" si="7"/>
        <v>2074.8510594000727</v>
      </c>
      <c r="I165">
        <f t="shared" si="8"/>
        <v>9279.0160240120331</v>
      </c>
    </row>
    <row r="166" spans="1:9" x14ac:dyDescent="0.45">
      <c r="A166">
        <v>-4.0222175812232308E-3</v>
      </c>
      <c r="B166">
        <f t="shared" si="5"/>
        <v>1.6178234270701257E-5</v>
      </c>
      <c r="E166">
        <f t="shared" si="9"/>
        <v>8.094579856188012E-5</v>
      </c>
      <c r="F166">
        <f t="shared" si="10"/>
        <v>8.9969883050874371E-3</v>
      </c>
      <c r="G166" s="1">
        <f t="shared" si="6"/>
        <v>2.0917997809328293E-2</v>
      </c>
      <c r="H166">
        <f t="shared" si="7"/>
        <v>2091.7997809328294</v>
      </c>
      <c r="I166">
        <f t="shared" si="8"/>
        <v>9354.8130109699505</v>
      </c>
    </row>
    <row r="167" spans="1:9" x14ac:dyDescent="0.45">
      <c r="A167">
        <v>1.3861017578165047E-2</v>
      </c>
      <c r="B167">
        <f t="shared" si="5"/>
        <v>1.9212780830220043E-4</v>
      </c>
      <c r="E167">
        <f t="shared" si="9"/>
        <v>7.7707398041468526E-5</v>
      </c>
      <c r="F167">
        <f t="shared" si="10"/>
        <v>8.8151799778262343E-3</v>
      </c>
      <c r="G167" s="1">
        <f t="shared" si="6"/>
        <v>2.0495293448445997E-2</v>
      </c>
      <c r="H167">
        <f t="shared" si="7"/>
        <v>2049.5293448445996</v>
      </c>
      <c r="I167">
        <f t="shared" si="8"/>
        <v>9165.7738739062661</v>
      </c>
    </row>
    <row r="168" spans="1:9" x14ac:dyDescent="0.45">
      <c r="A168">
        <v>4.3008412831113674E-3</v>
      </c>
      <c r="B168">
        <f t="shared" si="5"/>
        <v>1.8497235742515033E-5</v>
      </c>
      <c r="E168">
        <f t="shared" si="9"/>
        <v>8.3428415664810407E-5</v>
      </c>
      <c r="F168">
        <f t="shared" si="10"/>
        <v>9.1339156808463266E-3</v>
      </c>
      <c r="G168" s="1">
        <f t="shared" si="6"/>
        <v>2.1236353957967712E-2</v>
      </c>
      <c r="H168">
        <f t="shared" si="7"/>
        <v>2123.6353957967713</v>
      </c>
      <c r="I168">
        <f t="shared" si="8"/>
        <v>9497.1862088525031</v>
      </c>
    </row>
    <row r="169" spans="1:9" x14ac:dyDescent="0.45">
      <c r="A169">
        <v>6.9994257501093671E-3</v>
      </c>
      <c r="B169">
        <f t="shared" si="5"/>
        <v>4.8991960831294077E-5</v>
      </c>
      <c r="E169">
        <f t="shared" si="9"/>
        <v>8.0178700494868942E-5</v>
      </c>
      <c r="F169">
        <f t="shared" si="10"/>
        <v>8.9542559989576435E-3</v>
      </c>
      <c r="G169" s="1">
        <f t="shared" si="6"/>
        <v>2.0818645197576521E-2</v>
      </c>
      <c r="H169">
        <f t="shared" si="7"/>
        <v>2081.864519757652</v>
      </c>
      <c r="I169">
        <f t="shared" si="8"/>
        <v>9310.3811722461287</v>
      </c>
    </row>
    <row r="170" spans="1:9" x14ac:dyDescent="0.45">
      <c r="A170">
        <v>5.8945033742929809E-3</v>
      </c>
      <c r="B170">
        <f t="shared" si="5"/>
        <v>3.4745170029551338E-5</v>
      </c>
      <c r="E170">
        <f t="shared" si="9"/>
        <v>7.8619230926320113E-5</v>
      </c>
      <c r="F170">
        <f t="shared" si="10"/>
        <v>8.8667486107546836E-3</v>
      </c>
      <c r="G170" s="1">
        <f t="shared" si="6"/>
        <v>2.0615190520004642E-2</v>
      </c>
      <c r="H170">
        <f t="shared" si="7"/>
        <v>2061.5190520004644</v>
      </c>
      <c r="I170">
        <f t="shared" si="8"/>
        <v>9219.3934743679256</v>
      </c>
    </row>
    <row r="171" spans="1:9" x14ac:dyDescent="0.45">
      <c r="A171">
        <v>9.9768840300384909E-3</v>
      </c>
      <c r="B171">
        <f t="shared" si="5"/>
        <v>9.9538214948837085E-5</v>
      </c>
      <c r="E171">
        <f t="shared" si="9"/>
        <v>7.6425497656614879E-5</v>
      </c>
      <c r="F171">
        <f t="shared" si="10"/>
        <v>8.7421677893194712E-3</v>
      </c>
      <c r="G171" s="1">
        <f t="shared" si="6"/>
        <v>2.0325540110167774E-2</v>
      </c>
      <c r="H171">
        <f t="shared" si="7"/>
        <v>2032.5540110167774</v>
      </c>
      <c r="I171">
        <f t="shared" si="8"/>
        <v>9089.8578731467423</v>
      </c>
    </row>
    <row r="172" spans="1:9" x14ac:dyDescent="0.45">
      <c r="A172">
        <v>7.3027194957830943E-3</v>
      </c>
      <c r="B172">
        <f t="shared" si="5"/>
        <v>5.3329712034090493E-5</v>
      </c>
      <c r="E172">
        <f t="shared" si="9"/>
        <v>7.7580260196502513E-5</v>
      </c>
      <c r="F172">
        <f t="shared" si="10"/>
        <v>8.8079657240762756E-3</v>
      </c>
      <c r="G172" s="1">
        <f t="shared" si="6"/>
        <v>2.0478520308477341E-2</v>
      </c>
      <c r="H172">
        <f t="shared" si="7"/>
        <v>2047.8520308477341</v>
      </c>
      <c r="I172">
        <f t="shared" si="8"/>
        <v>9158.2726976730592</v>
      </c>
    </row>
    <row r="173" spans="1:9" x14ac:dyDescent="0.45">
      <c r="A173">
        <v>5.0423977882019244E-3</v>
      </c>
      <c r="B173">
        <f t="shared" si="5"/>
        <v>2.5425775454463661E-5</v>
      </c>
      <c r="E173">
        <f t="shared" si="9"/>
        <v>7.636131606441464E-5</v>
      </c>
      <c r="F173">
        <f t="shared" si="10"/>
        <v>8.7384962129885158E-3</v>
      </c>
      <c r="G173" s="1">
        <f t="shared" si="6"/>
        <v>2.0317003695198302E-2</v>
      </c>
      <c r="H173">
        <f t="shared" si="7"/>
        <v>2031.7003695198302</v>
      </c>
      <c r="I173">
        <f t="shared" si="8"/>
        <v>9086.0402723155639</v>
      </c>
    </row>
    <row r="174" spans="1:9" x14ac:dyDescent="0.45">
      <c r="A174">
        <v>3.674563231470529E-3</v>
      </c>
      <c r="B174">
        <f t="shared" si="5"/>
        <v>1.3502414942075136E-5</v>
      </c>
      <c r="E174">
        <f t="shared" si="9"/>
        <v>7.3811514816872877E-5</v>
      </c>
      <c r="F174">
        <f t="shared" si="10"/>
        <v>8.5913628032386613E-3</v>
      </c>
      <c r="G174" s="1">
        <f t="shared" si="6"/>
        <v>1.9974918517529888E-2</v>
      </c>
      <c r="H174">
        <f t="shared" si="7"/>
        <v>1997.4918517529889</v>
      </c>
      <c r="I174">
        <f t="shared" si="8"/>
        <v>8933.0551300432307</v>
      </c>
    </row>
    <row r="175" spans="1:9" x14ac:dyDescent="0.45">
      <c r="A175">
        <v>2.0455900084925815E-3</v>
      </c>
      <c r="B175">
        <f t="shared" si="5"/>
        <v>4.1844384828446796E-6</v>
      </c>
      <c r="E175">
        <f t="shared" si="9"/>
        <v>7.0795901058832612E-5</v>
      </c>
      <c r="F175">
        <f t="shared" si="10"/>
        <v>8.414030012950548E-3</v>
      </c>
      <c r="G175" s="1">
        <f t="shared" si="6"/>
        <v>1.9562619780110025E-2</v>
      </c>
      <c r="H175">
        <f t="shared" si="7"/>
        <v>1956.2619780110026</v>
      </c>
      <c r="I175">
        <f t="shared" si="8"/>
        <v>8748.6695292616023</v>
      </c>
    </row>
    <row r="176" spans="1:9" x14ac:dyDescent="0.45">
      <c r="A176">
        <v>2.3482789401896298E-2</v>
      </c>
      <c r="B176">
        <f t="shared" si="5"/>
        <v>5.5144139809381308E-4</v>
      </c>
      <c r="E176">
        <f t="shared" si="9"/>
        <v>6.7464955156059162E-5</v>
      </c>
      <c r="F176">
        <f t="shared" si="10"/>
        <v>8.2137053243989191E-3</v>
      </c>
      <c r="G176" s="1">
        <f t="shared" si="6"/>
        <v>1.9096864879227488E-2</v>
      </c>
      <c r="H176">
        <f t="shared" si="7"/>
        <v>1909.6864879227487</v>
      </c>
      <c r="I176">
        <f t="shared" si="8"/>
        <v>8540.3776054161954</v>
      </c>
    </row>
    <row r="177" spans="1:9" x14ac:dyDescent="0.45">
      <c r="A177">
        <v>9.4007646112004295E-3</v>
      </c>
      <c r="B177">
        <f t="shared" si="5"/>
        <v>8.8374375275198359E-5</v>
      </c>
      <c r="E177">
        <f t="shared" si="9"/>
        <v>9.1660358489897571E-5</v>
      </c>
      <c r="F177">
        <f t="shared" si="10"/>
        <v>9.5739416381079735E-3</v>
      </c>
      <c r="G177" s="1">
        <f t="shared" si="6"/>
        <v>2.2259414308601039E-2</v>
      </c>
      <c r="H177">
        <f t="shared" si="7"/>
        <v>2225.941430860104</v>
      </c>
      <c r="I177">
        <f t="shared" si="8"/>
        <v>9954.7127066726825</v>
      </c>
    </row>
    <row r="178" spans="1:9" x14ac:dyDescent="0.45">
      <c r="A178">
        <v>-1.7651473172008991E-3</v>
      </c>
      <c r="B178">
        <f t="shared" si="5"/>
        <v>3.1157450514215316E-6</v>
      </c>
      <c r="E178">
        <f t="shared" si="9"/>
        <v>9.1493713525591435E-5</v>
      </c>
      <c r="F178">
        <f t="shared" si="10"/>
        <v>9.5652346299289204E-3</v>
      </c>
      <c r="G178" s="1">
        <f t="shared" si="6"/>
        <v>2.2239170514584742E-2</v>
      </c>
      <c r="H178">
        <f t="shared" si="7"/>
        <v>2223.9170514584744</v>
      </c>
      <c r="I178">
        <f t="shared" si="8"/>
        <v>9945.6594067640926</v>
      </c>
    </row>
    <row r="179" spans="1:9" x14ac:dyDescent="0.45">
      <c r="A179">
        <v>1.1423617252148688E-2</v>
      </c>
      <c r="B179">
        <f t="shared" si="5"/>
        <v>1.3049903112358912E-4</v>
      </c>
      <c r="E179">
        <f t="shared" si="9"/>
        <v>8.7074709544330341E-5</v>
      </c>
      <c r="F179">
        <f t="shared" si="10"/>
        <v>9.3313830456331782E-3</v>
      </c>
      <c r="G179" s="1">
        <f t="shared" si="6"/>
        <v>2.169546558109714E-2</v>
      </c>
      <c r="H179">
        <f t="shared" si="7"/>
        <v>2169.5465581097142</v>
      </c>
      <c r="I179">
        <f t="shared" si="8"/>
        <v>9702.5071685680377</v>
      </c>
    </row>
    <row r="180" spans="1:9" x14ac:dyDescent="0.45">
      <c r="A180">
        <v>4.7102730604819953E-4</v>
      </c>
      <c r="B180">
        <f t="shared" si="5"/>
        <v>2.2186672304302423E-7</v>
      </c>
      <c r="E180">
        <f t="shared" si="9"/>
        <v>8.9244708902302042E-5</v>
      </c>
      <c r="F180">
        <f t="shared" si="10"/>
        <v>9.44694177510913E-3</v>
      </c>
      <c r="G180" s="1">
        <f t="shared" si="6"/>
        <v>2.1964139627128728E-2</v>
      </c>
      <c r="H180">
        <f t="shared" si="7"/>
        <v>2196.4139627128729</v>
      </c>
      <c r="I180">
        <f t="shared" si="8"/>
        <v>9822.6618547113449</v>
      </c>
    </row>
    <row r="181" spans="1:9" x14ac:dyDescent="0.45">
      <c r="A181">
        <v>1.5732302927062847E-2</v>
      </c>
      <c r="B181">
        <f t="shared" si="5"/>
        <v>2.4750535538887021E-4</v>
      </c>
      <c r="E181">
        <f t="shared" si="9"/>
        <v>8.4791911807660241E-5</v>
      </c>
      <c r="F181">
        <f t="shared" si="10"/>
        <v>9.2082523753240081E-3</v>
      </c>
      <c r="G181" s="1">
        <f t="shared" si="6"/>
        <v>2.1409186772628319E-2</v>
      </c>
      <c r="H181">
        <f t="shared" si="7"/>
        <v>2140.9186772628318</v>
      </c>
      <c r="I181">
        <f t="shared" si="8"/>
        <v>9574.4793933172514</v>
      </c>
    </row>
    <row r="182" spans="1:9" x14ac:dyDescent="0.45">
      <c r="A182">
        <v>-7.290736903087236E-3</v>
      </c>
      <c r="B182">
        <f t="shared" si="5"/>
        <v>5.3154844590038064E-5</v>
      </c>
      <c r="E182">
        <f t="shared" si="9"/>
        <v>9.2927544854948553E-5</v>
      </c>
      <c r="F182">
        <f t="shared" si="10"/>
        <v>9.6398934047503115E-3</v>
      </c>
      <c r="G182" s="1">
        <f t="shared" si="6"/>
        <v>2.2412752166044474E-2</v>
      </c>
      <c r="H182">
        <f t="shared" si="7"/>
        <v>2241.2752166044475</v>
      </c>
      <c r="I182">
        <f t="shared" si="8"/>
        <v>10023.28748122622</v>
      </c>
    </row>
    <row r="183" spans="1:9" x14ac:dyDescent="0.45">
      <c r="A183">
        <v>-6.5168705987161957E-3</v>
      </c>
      <c r="B183">
        <f t="shared" si="5"/>
        <v>4.2469602400411586E-5</v>
      </c>
      <c r="E183">
        <f t="shared" si="9"/>
        <v>9.0938003683397584E-5</v>
      </c>
      <c r="F183">
        <f t="shared" si="10"/>
        <v>9.5361419705978362E-3</v>
      </c>
      <c r="G183" s="1">
        <f t="shared" si="6"/>
        <v>2.2171530081639971E-2</v>
      </c>
      <c r="H183">
        <f t="shared" si="7"/>
        <v>2217.1530081639971</v>
      </c>
      <c r="I183">
        <f t="shared" si="8"/>
        <v>9915.4096855456883</v>
      </c>
    </row>
    <row r="184" spans="1:9" x14ac:dyDescent="0.45">
      <c r="A184">
        <v>-6.581331035704352E-3</v>
      </c>
      <c r="B184">
        <f t="shared" si="5"/>
        <v>4.3313918201525321E-5</v>
      </c>
      <c r="E184">
        <f t="shared" si="9"/>
        <v>8.8508391289836944E-5</v>
      </c>
      <c r="F184">
        <f t="shared" si="10"/>
        <v>9.4078898425649597E-3</v>
      </c>
      <c r="G184" s="1">
        <f t="shared" si="6"/>
        <v>2.1873343883963534E-2</v>
      </c>
      <c r="H184">
        <f t="shared" si="7"/>
        <v>2187.3343883963535</v>
      </c>
      <c r="I184">
        <f t="shared" si="8"/>
        <v>9782.0567639543478</v>
      </c>
    </row>
    <row r="185" spans="1:9" x14ac:dyDescent="0.45">
      <c r="A185">
        <v>-6.2784238252788782E-3</v>
      </c>
      <c r="B185">
        <f t="shared" si="5"/>
        <v>3.9418605729829462E-5</v>
      </c>
      <c r="E185">
        <f t="shared" si="9"/>
        <v>8.6240579338053687E-5</v>
      </c>
      <c r="F185">
        <f t="shared" si="10"/>
        <v>9.2865806052633646E-3</v>
      </c>
      <c r="G185" s="1">
        <f t="shared" si="6"/>
        <v>2.1591299907237325E-2</v>
      </c>
      <c r="H185">
        <f t="shared" si="7"/>
        <v>2159.1299907237326</v>
      </c>
      <c r="I185">
        <f t="shared" si="8"/>
        <v>9655.9228630335128</v>
      </c>
    </row>
    <row r="186" spans="1:9" x14ac:dyDescent="0.45">
      <c r="A186">
        <v>-1.4336319509311579E-2</v>
      </c>
      <c r="B186">
        <f t="shared" si="5"/>
        <v>2.0553005707306781E-4</v>
      </c>
      <c r="E186">
        <f t="shared" si="9"/>
        <v>8.389945862819772E-5</v>
      </c>
      <c r="F186">
        <f t="shared" si="10"/>
        <v>9.159664766147161E-3</v>
      </c>
      <c r="G186" s="1">
        <f t="shared" si="6"/>
        <v>2.1296220581292151E-2</v>
      </c>
      <c r="H186">
        <f t="shared" si="7"/>
        <v>2129.622058129215</v>
      </c>
      <c r="I186">
        <f t="shared" si="8"/>
        <v>9523.9593767198676</v>
      </c>
    </row>
    <row r="187" spans="1:9" x14ac:dyDescent="0.45">
      <c r="A187">
        <v>-1.4791385183343664E-2</v>
      </c>
      <c r="B187">
        <f t="shared" si="5"/>
        <v>2.1878507564203846E-4</v>
      </c>
      <c r="E187">
        <f t="shared" si="9"/>
        <v>8.9980867956236522E-5</v>
      </c>
      <c r="F187">
        <f t="shared" si="10"/>
        <v>9.4858245796681541E-3</v>
      </c>
      <c r="G187" s="1">
        <f t="shared" si="6"/>
        <v>2.2054542147728461E-2</v>
      </c>
      <c r="H187">
        <f t="shared" si="7"/>
        <v>2205.4542147728462</v>
      </c>
      <c r="I187">
        <f t="shared" si="8"/>
        <v>9863.0910909910108</v>
      </c>
    </row>
    <row r="188" spans="1:9" x14ac:dyDescent="0.45">
      <c r="A188">
        <v>-7.5845036917598918E-4</v>
      </c>
      <c r="B188">
        <f t="shared" si="5"/>
        <v>5.7524696250319423E-7</v>
      </c>
      <c r="E188">
        <f t="shared" si="9"/>
        <v>9.6420243369279687E-5</v>
      </c>
      <c r="F188">
        <f t="shared" si="10"/>
        <v>9.8193810074403212E-3</v>
      </c>
      <c r="G188" s="1">
        <f t="shared" si="6"/>
        <v>2.2830060842298747E-2</v>
      </c>
      <c r="H188">
        <f t="shared" si="7"/>
        <v>2283.0060842298749</v>
      </c>
      <c r="I188">
        <f t="shared" si="8"/>
        <v>10209.913594767222</v>
      </c>
    </row>
    <row r="189" spans="1:9" x14ac:dyDescent="0.45">
      <c r="A189">
        <v>3.7458676160895266E-3</v>
      </c>
      <c r="B189">
        <f t="shared" si="5"/>
        <v>1.4031524197268232E-5</v>
      </c>
      <c r="E189">
        <f t="shared" si="9"/>
        <v>9.1626838475205262E-5</v>
      </c>
      <c r="F189">
        <f t="shared" si="10"/>
        <v>9.5721908921210536E-3</v>
      </c>
      <c r="G189" s="1">
        <f t="shared" si="6"/>
        <v>2.2255343824181453E-2</v>
      </c>
      <c r="H189">
        <f t="shared" si="7"/>
        <v>2225.5343824181455</v>
      </c>
      <c r="I189">
        <f t="shared" si="8"/>
        <v>9952.8923306999732</v>
      </c>
    </row>
    <row r="190" spans="1:9" x14ac:dyDescent="0.45">
      <c r="A190">
        <v>1.4306488083093427E-2</v>
      </c>
      <c r="B190">
        <f t="shared" si="5"/>
        <v>2.0467560127169425E-4</v>
      </c>
      <c r="E190">
        <f t="shared" si="9"/>
        <v>8.7741317766754057E-5</v>
      </c>
      <c r="F190">
        <f t="shared" si="10"/>
        <v>9.3670335628070669E-3</v>
      </c>
      <c r="G190" s="1">
        <f t="shared" si="6"/>
        <v>2.1778353033526432E-2</v>
      </c>
      <c r="H190">
        <f t="shared" si="7"/>
        <v>2177.8353033526432</v>
      </c>
      <c r="I190">
        <f t="shared" si="8"/>
        <v>9739.5755641907726</v>
      </c>
    </row>
    <row r="191" spans="1:9" x14ac:dyDescent="0.45">
      <c r="A191">
        <v>-3.5740868042921647E-3</v>
      </c>
      <c r="B191">
        <f t="shared" si="5"/>
        <v>1.2774096484615379E-5</v>
      </c>
      <c r="E191">
        <f t="shared" si="9"/>
        <v>9.3587252440923116E-5</v>
      </c>
      <c r="F191">
        <f t="shared" si="10"/>
        <v>9.6740504671478291E-3</v>
      </c>
      <c r="G191" s="1">
        <f t="shared" si="6"/>
        <v>2.2492167336118703E-2</v>
      </c>
      <c r="H191">
        <f t="shared" si="7"/>
        <v>2249.2167336118705</v>
      </c>
      <c r="I191">
        <f t="shared" si="8"/>
        <v>10058.803024972358</v>
      </c>
    </row>
    <row r="192" spans="1:9" x14ac:dyDescent="0.45">
      <c r="A192">
        <v>4.5158230932429433E-3</v>
      </c>
      <c r="B192">
        <f t="shared" si="5"/>
        <v>2.0392658209466264E-5</v>
      </c>
      <c r="E192">
        <f t="shared" si="9"/>
        <v>8.9546343701930861E-5</v>
      </c>
      <c r="F192">
        <f t="shared" si="10"/>
        <v>9.4628929879784045E-3</v>
      </c>
      <c r="G192" s="1">
        <f t="shared" si="6"/>
        <v>2.2001226197049792E-2</v>
      </c>
      <c r="H192">
        <f t="shared" si="7"/>
        <v>2200.1226197049791</v>
      </c>
      <c r="I192">
        <f t="shared" si="8"/>
        <v>9839.2474729905043</v>
      </c>
    </row>
    <row r="193" spans="1:9" x14ac:dyDescent="0.45">
      <c r="A193">
        <v>-1.5398381947306916E-2</v>
      </c>
      <c r="B193">
        <f t="shared" si="5"/>
        <v>2.3711016659514755E-4</v>
      </c>
      <c r="E193">
        <f t="shared" si="9"/>
        <v>8.6065424516327591E-5</v>
      </c>
      <c r="F193">
        <f t="shared" si="10"/>
        <v>9.2771452783885835E-3</v>
      </c>
      <c r="G193" s="1">
        <f t="shared" si="6"/>
        <v>2.1569362772253457E-2</v>
      </c>
      <c r="H193">
        <f t="shared" si="7"/>
        <v>2156.9362772253457</v>
      </c>
      <c r="I193">
        <f t="shared" si="8"/>
        <v>9646.1122780224105</v>
      </c>
    </row>
    <row r="194" spans="1:9" x14ac:dyDescent="0.45">
      <c r="A194">
        <v>8.7663011072436348E-3</v>
      </c>
      <c r="B194">
        <f t="shared" si="5"/>
        <v>7.6848035102860973E-5</v>
      </c>
      <c r="E194">
        <f t="shared" si="9"/>
        <v>9.3617360871055269E-5</v>
      </c>
      <c r="F194">
        <f t="shared" si="10"/>
        <v>9.6756064859550416E-3</v>
      </c>
      <c r="G194" s="1">
        <f t="shared" si="6"/>
        <v>2.2495785079845475E-2</v>
      </c>
      <c r="H194">
        <f t="shared" si="7"/>
        <v>2249.5785079845473</v>
      </c>
      <c r="I194">
        <f t="shared" si="8"/>
        <v>10060.420929152002</v>
      </c>
    </row>
    <row r="195" spans="1:9" x14ac:dyDescent="0.45">
      <c r="A195">
        <v>3.593663677747827E-3</v>
      </c>
      <c r="B195">
        <f t="shared" ref="B195:B258" si="11">A195^2</f>
        <v>1.2914418628764038E-5</v>
      </c>
      <c r="E195">
        <f t="shared" si="9"/>
        <v>9.2775375401316754E-5</v>
      </c>
      <c r="F195">
        <f t="shared" si="10"/>
        <v>9.6319974772274917E-3</v>
      </c>
      <c r="G195" s="1">
        <f t="shared" si="6"/>
        <v>2.2394394134553922E-2</v>
      </c>
      <c r="H195">
        <f t="shared" si="7"/>
        <v>2239.4394134553922</v>
      </c>
      <c r="I195">
        <f t="shared" si="8"/>
        <v>10015.077519957029</v>
      </c>
    </row>
    <row r="196" spans="1:9" x14ac:dyDescent="0.45">
      <c r="A196">
        <v>-2.4485416361130774E-2</v>
      </c>
      <c r="B196">
        <f t="shared" si="11"/>
        <v>5.9953561437793058E-4</v>
      </c>
      <c r="E196">
        <f t="shared" si="9"/>
        <v>8.8780517950747356E-5</v>
      </c>
      <c r="F196">
        <f t="shared" si="10"/>
        <v>9.4223414261396486E-3</v>
      </c>
      <c r="G196" s="1">
        <f t="shared" si="6"/>
        <v>2.1906943815774686E-2</v>
      </c>
      <c r="H196">
        <f t="shared" si="7"/>
        <v>2190.6943815774684</v>
      </c>
      <c r="I196">
        <f t="shared" si="8"/>
        <v>9797.0831102681659</v>
      </c>
    </row>
    <row r="197" spans="1:9" x14ac:dyDescent="0.45">
      <c r="A197">
        <v>2.1566506802628282E-3</v>
      </c>
      <c r="B197">
        <f t="shared" si="11"/>
        <v>4.6511421566781196E-6</v>
      </c>
      <c r="E197">
        <f t="shared" si="9"/>
        <v>1.1431300268940798E-4</v>
      </c>
      <c r="F197">
        <f t="shared" si="10"/>
        <v>1.0691725898535185E-2</v>
      </c>
      <c r="G197" s="1">
        <f t="shared" si="6"/>
        <v>2.4858262714094307E-2</v>
      </c>
      <c r="H197">
        <f t="shared" si="7"/>
        <v>2485.8262714094308</v>
      </c>
      <c r="I197">
        <f t="shared" si="8"/>
        <v>11116.953046252658</v>
      </c>
    </row>
    <row r="198" spans="1:9" x14ac:dyDescent="0.45">
      <c r="A198">
        <v>1.2235773283464368E-3</v>
      </c>
      <c r="B198">
        <f t="shared" si="11"/>
        <v>1.4971414784434041E-6</v>
      </c>
      <c r="E198">
        <f t="shared" si="9"/>
        <v>1.0882930421303832E-4</v>
      </c>
      <c r="F198">
        <f t="shared" si="10"/>
        <v>1.0432128460340119E-2</v>
      </c>
      <c r="G198" s="1">
        <f t="shared" si="6"/>
        <v>2.4254698670290779E-2</v>
      </c>
      <c r="H198">
        <f t="shared" si="7"/>
        <v>2425.4698670290782</v>
      </c>
      <c r="I198">
        <f t="shared" si="8"/>
        <v>10847.031000108789</v>
      </c>
    </row>
    <row r="199" spans="1:9" x14ac:dyDescent="0.45">
      <c r="A199">
        <v>1.095859261113219E-2</v>
      </c>
      <c r="B199">
        <f t="shared" si="11"/>
        <v>1.2009075201676102E-4</v>
      </c>
      <c r="E199">
        <f t="shared" si="9"/>
        <v>1.0346095549832808E-4</v>
      </c>
      <c r="F199">
        <f t="shared" si="10"/>
        <v>1.0171575861110612E-2</v>
      </c>
      <c r="G199" s="1">
        <f t="shared" si="6"/>
        <v>2.3648913877082175E-2</v>
      </c>
      <c r="H199">
        <f t="shared" si="7"/>
        <v>2364.8913877082173</v>
      </c>
      <c r="I199">
        <f t="shared" si="8"/>
        <v>10576.11580463877</v>
      </c>
    </row>
    <row r="200" spans="1:9" x14ac:dyDescent="0.45">
      <c r="A200">
        <v>1.3407611731963698E-2</v>
      </c>
      <c r="B200">
        <f t="shared" si="11"/>
        <v>1.797640523550906E-4</v>
      </c>
      <c r="E200">
        <f t="shared" si="9"/>
        <v>1.0429228407268895E-4</v>
      </c>
      <c r="F200">
        <f t="shared" si="10"/>
        <v>1.0212359378355667E-2</v>
      </c>
      <c r="G200" s="1">
        <f t="shared" si="6"/>
        <v>2.3743735554676928E-2</v>
      </c>
      <c r="H200">
        <f t="shared" si="7"/>
        <v>2374.3735554676928</v>
      </c>
      <c r="I200">
        <f t="shared" si="8"/>
        <v>10618.521348007258</v>
      </c>
    </row>
    <row r="201" spans="1:9" x14ac:dyDescent="0.45">
      <c r="A201">
        <v>-4.2737156036309898E-4</v>
      </c>
      <c r="B201">
        <f t="shared" si="11"/>
        <v>1.8264645060718995E-7</v>
      </c>
      <c r="E201">
        <f t="shared" si="9"/>
        <v>1.0806379064976906E-4</v>
      </c>
      <c r="F201">
        <f t="shared" si="10"/>
        <v>1.0395373521416585E-2</v>
      </c>
      <c r="G201" s="1">
        <f t="shared" si="6"/>
        <v>2.4169243437293562E-2</v>
      </c>
      <c r="H201">
        <f t="shared" si="7"/>
        <v>2416.9243437293562</v>
      </c>
      <c r="I201">
        <f t="shared" si="8"/>
        <v>10808.814258105816</v>
      </c>
    </row>
    <row r="202" spans="1:9" x14ac:dyDescent="0.45">
      <c r="A202">
        <v>-1.4698389350087382E-2</v>
      </c>
      <c r="B202">
        <f t="shared" si="11"/>
        <v>2.1604264948676217E-4</v>
      </c>
      <c r="E202">
        <f t="shared" si="9"/>
        <v>1.0266731184380504E-4</v>
      </c>
      <c r="F202">
        <f t="shared" si="10"/>
        <v>1.0132487939484805E-2</v>
      </c>
      <c r="G202" s="1">
        <f t="shared" si="6"/>
        <v>2.3558034459302175E-2</v>
      </c>
      <c r="H202">
        <f t="shared" si="7"/>
        <v>2355.8034459302175</v>
      </c>
      <c r="I202">
        <f t="shared" si="8"/>
        <v>10535.473293456434</v>
      </c>
    </row>
    <row r="203" spans="1:9" x14ac:dyDescent="0.45">
      <c r="A203">
        <v>1.3215185390436091E-3</v>
      </c>
      <c r="B203">
        <f t="shared" si="11"/>
        <v>1.7464112490359548E-6</v>
      </c>
      <c r="E203">
        <f t="shared" si="9"/>
        <v>1.0833423649772587E-4</v>
      </c>
      <c r="F203">
        <f t="shared" si="10"/>
        <v>1.0408373383854265E-2</v>
      </c>
      <c r="G203" s="1">
        <f t="shared" si="6"/>
        <v>2.4199468117461168E-2</v>
      </c>
      <c r="H203">
        <f t="shared" si="7"/>
        <v>2419.946811746117</v>
      </c>
      <c r="I203">
        <f t="shared" si="8"/>
        <v>10822.331145996408</v>
      </c>
    </row>
    <row r="204" spans="1:9" x14ac:dyDescent="0.45">
      <c r="A204">
        <v>-3.1893137020233553E-3</v>
      </c>
      <c r="B204">
        <f t="shared" si="11"/>
        <v>1.0171721889913919E-5</v>
      </c>
      <c r="E204">
        <f t="shared" si="9"/>
        <v>1.0300457111521735E-4</v>
      </c>
      <c r="F204">
        <f t="shared" si="10"/>
        <v>1.0149116765276541E-2</v>
      </c>
      <c r="G204" s="1">
        <f t="shared" si="6"/>
        <v>2.3596696479267962E-2</v>
      </c>
      <c r="H204">
        <f t="shared" si="7"/>
        <v>2359.6696479267962</v>
      </c>
      <c r="I204">
        <f t="shared" si="8"/>
        <v>10552.763474414625</v>
      </c>
    </row>
    <row r="205" spans="1:9" x14ac:dyDescent="0.45">
      <c r="A205">
        <v>2.4016117095015943E-3</v>
      </c>
      <c r="B205">
        <f t="shared" si="11"/>
        <v>5.7677388032151702E-6</v>
      </c>
      <c r="E205">
        <f t="shared" si="9"/>
        <v>9.8362922727630324E-5</v>
      </c>
      <c r="F205">
        <f t="shared" si="10"/>
        <v>9.9178083631228896E-3</v>
      </c>
      <c r="G205" s="1">
        <f t="shared" si="6"/>
        <v>2.305890444426072E-2</v>
      </c>
      <c r="H205">
        <f t="shared" si="7"/>
        <v>2305.890444426072</v>
      </c>
      <c r="I205">
        <f t="shared" si="8"/>
        <v>10312.255564807796</v>
      </c>
    </row>
    <row r="206" spans="1:9" x14ac:dyDescent="0.45">
      <c r="A206">
        <v>1.3082126315566711E-2</v>
      </c>
      <c r="B206">
        <f t="shared" si="11"/>
        <v>1.7114202893644305E-4</v>
      </c>
      <c r="E206">
        <f t="shared" si="9"/>
        <v>9.3723704480541933E-5</v>
      </c>
      <c r="F206">
        <f t="shared" si="10"/>
        <v>9.6811003755018429E-3</v>
      </c>
      <c r="G206" s="1">
        <f t="shared" si="6"/>
        <v>2.2508558373041786E-2</v>
      </c>
      <c r="H206">
        <f t="shared" si="7"/>
        <v>2250.8558373041787</v>
      </c>
      <c r="I206">
        <f t="shared" si="8"/>
        <v>10066.133319528702</v>
      </c>
    </row>
    <row r="207" spans="1:9" x14ac:dyDescent="0.45">
      <c r="A207">
        <v>-6.4953837863868102E-4</v>
      </c>
      <c r="B207">
        <f t="shared" si="11"/>
        <v>4.2190010532456656E-7</v>
      </c>
      <c r="E207">
        <f t="shared" si="9"/>
        <v>9.7593809071705098E-5</v>
      </c>
      <c r="F207">
        <f t="shared" si="10"/>
        <v>9.8789578940141811E-3</v>
      </c>
      <c r="G207" s="1">
        <f t="shared" si="6"/>
        <v>2.2968577103582972E-2</v>
      </c>
      <c r="H207">
        <f t="shared" si="7"/>
        <v>2296.857710358297</v>
      </c>
      <c r="I207">
        <f t="shared" si="8"/>
        <v>10271.859950011351</v>
      </c>
    </row>
    <row r="208" spans="1:9" x14ac:dyDescent="0.45">
      <c r="A208">
        <v>1.171952135337051E-3</v>
      </c>
      <c r="B208">
        <f t="shared" si="11"/>
        <v>1.3734718075210735E-6</v>
      </c>
      <c r="E208">
        <f t="shared" si="9"/>
        <v>9.2733047026164492E-5</v>
      </c>
      <c r="F208">
        <f t="shared" si="10"/>
        <v>9.6297999473594718E-3</v>
      </c>
      <c r="G208" s="1">
        <f t="shared" si="6"/>
        <v>2.2389284877610775E-2</v>
      </c>
      <c r="H208">
        <f t="shared" si="7"/>
        <v>2238.9284877610776</v>
      </c>
      <c r="I208">
        <f t="shared" si="8"/>
        <v>10012.792590789151</v>
      </c>
    </row>
    <row r="209" spans="1:9" x14ac:dyDescent="0.45">
      <c r="A209">
        <v>3.9956830732990056E-3</v>
      </c>
      <c r="B209">
        <f t="shared" si="11"/>
        <v>1.5965483222248186E-5</v>
      </c>
      <c r="E209">
        <f t="shared" si="9"/>
        <v>8.8160906306191414E-5</v>
      </c>
      <c r="F209">
        <f t="shared" si="10"/>
        <v>9.3894039377476687E-3</v>
      </c>
      <c r="G209" s="1">
        <f t="shared" si="6"/>
        <v>2.1830364155263331E-2</v>
      </c>
      <c r="H209">
        <f t="shared" si="7"/>
        <v>2183.0364155263333</v>
      </c>
      <c r="I209">
        <f t="shared" si="8"/>
        <v>9762.8356449487183</v>
      </c>
    </row>
    <row r="210" spans="1:9" x14ac:dyDescent="0.45">
      <c r="A210">
        <v>1.0041276254924014E-2</v>
      </c>
      <c r="B210">
        <f t="shared" si="11"/>
        <v>1.0082722882770084E-4</v>
      </c>
      <c r="E210">
        <f t="shared" si="9"/>
        <v>8.4550958640108222E-5</v>
      </c>
      <c r="F210">
        <f t="shared" si="10"/>
        <v>9.1951595222762843E-3</v>
      </c>
      <c r="G210" s="1">
        <f t="shared" si="6"/>
        <v>2.1378745889292363E-2</v>
      </c>
      <c r="H210">
        <f t="shared" si="7"/>
        <v>2137.8745889292363</v>
      </c>
      <c r="I210">
        <f t="shared" si="8"/>
        <v>9560.8658164303833</v>
      </c>
    </row>
    <row r="211" spans="1:9" x14ac:dyDescent="0.45">
      <c r="A211">
        <v>7.3017190516111441E-3</v>
      </c>
      <c r="B211">
        <f t="shared" si="11"/>
        <v>5.3315101108661144E-5</v>
      </c>
      <c r="E211">
        <f t="shared" si="9"/>
        <v>8.5364463085788308E-5</v>
      </c>
      <c r="F211">
        <f t="shared" si="10"/>
        <v>9.2392891006715609E-3</v>
      </c>
      <c r="G211" s="1">
        <f t="shared" si="6"/>
        <v>2.148134715906138E-2</v>
      </c>
      <c r="H211">
        <f t="shared" si="7"/>
        <v>2148.1347159061379</v>
      </c>
      <c r="I211">
        <f t="shared" si="8"/>
        <v>9606.7504991866463</v>
      </c>
    </row>
    <row r="212" spans="1:9" x14ac:dyDescent="0.45">
      <c r="A212">
        <v>1.7400452634319663E-2</v>
      </c>
      <c r="B212">
        <f t="shared" si="11"/>
        <v>3.027757518792021E-4</v>
      </c>
      <c r="E212">
        <f t="shared" si="9"/>
        <v>8.3757061925857445E-5</v>
      </c>
      <c r="F212">
        <f t="shared" si="10"/>
        <v>9.1518884349546924E-3</v>
      </c>
      <c r="G212" s="1">
        <f t="shared" si="6"/>
        <v>2.1278140611269661E-2</v>
      </c>
      <c r="H212">
        <f t="shared" si="7"/>
        <v>2127.814061126966</v>
      </c>
      <c r="I212">
        <f t="shared" si="8"/>
        <v>9515.8737683195777</v>
      </c>
    </row>
    <row r="213" spans="1:9" x14ac:dyDescent="0.45">
      <c r="A213">
        <v>5.4674842431268189E-3</v>
      </c>
      <c r="B213">
        <f t="shared" si="11"/>
        <v>2.9893383948840044E-5</v>
      </c>
      <c r="E213">
        <f t="shared" si="9"/>
        <v>9.4704105696825255E-5</v>
      </c>
      <c r="F213">
        <f t="shared" si="10"/>
        <v>9.7316034494231863E-3</v>
      </c>
      <c r="G213" s="1">
        <f t="shared" si="6"/>
        <v>2.2625978019908909E-2</v>
      </c>
      <c r="H213">
        <f t="shared" si="7"/>
        <v>2262.5978019908907</v>
      </c>
      <c r="I213">
        <f t="shared" si="8"/>
        <v>10118.644981986481</v>
      </c>
    </row>
    <row r="214" spans="1:9" x14ac:dyDescent="0.45">
      <c r="A214">
        <v>-4.7329081098723691E-3</v>
      </c>
      <c r="B214">
        <f t="shared" si="11"/>
        <v>2.240041917649564E-5</v>
      </c>
      <c r="E214">
        <f t="shared" si="9"/>
        <v>9.1463552652094865E-5</v>
      </c>
      <c r="F214">
        <f t="shared" si="10"/>
        <v>9.5636579117038094E-3</v>
      </c>
      <c r="G214" s="1">
        <f t="shared" si="6"/>
        <v>2.2235504644711357E-2</v>
      </c>
      <c r="H214">
        <f t="shared" si="7"/>
        <v>2223.5504644711359</v>
      </c>
      <c r="I214">
        <f t="shared" si="8"/>
        <v>9944.0199799173824</v>
      </c>
    </row>
    <row r="215" spans="1:9" x14ac:dyDescent="0.45">
      <c r="A215">
        <v>1.5169598555075936E-2</v>
      </c>
      <c r="B215">
        <f t="shared" si="11"/>
        <v>2.3011672032216193E-4</v>
      </c>
      <c r="E215">
        <f t="shared" si="9"/>
        <v>8.8010330876365199E-5</v>
      </c>
      <c r="F215">
        <f t="shared" si="10"/>
        <v>9.3813821410475111E-3</v>
      </c>
      <c r="G215" s="1">
        <f t="shared" si="6"/>
        <v>2.1811713477935465E-2</v>
      </c>
      <c r="H215">
        <f t="shared" si="7"/>
        <v>2181.1713477935464</v>
      </c>
      <c r="I215">
        <f t="shared" si="8"/>
        <v>9754.4948084824118</v>
      </c>
    </row>
    <row r="216" spans="1:9" x14ac:dyDescent="0.45">
      <c r="A216">
        <v>-8.8769184003467672E-3</v>
      </c>
      <c r="B216">
        <f t="shared" si="11"/>
        <v>7.8799680286415012E-5</v>
      </c>
      <c r="E216">
        <f t="shared" si="9"/>
        <v>9.5114612999856887E-5</v>
      </c>
      <c r="F216">
        <f t="shared" si="10"/>
        <v>9.7526720953724725E-3</v>
      </c>
      <c r="G216" s="1">
        <f t="shared" si="6"/>
        <v>2.2674962621740999E-2</v>
      </c>
      <c r="H216">
        <f t="shared" si="7"/>
        <v>2267.4962621740997</v>
      </c>
      <c r="I216">
        <f t="shared" si="8"/>
        <v>10140.551561895945</v>
      </c>
    </row>
    <row r="217" spans="1:9" x14ac:dyDescent="0.45">
      <c r="A217">
        <v>-6.0379989008652046E-3</v>
      </c>
      <c r="B217">
        <f t="shared" si="11"/>
        <v>3.6457430726849417E-5</v>
      </c>
      <c r="E217">
        <f t="shared" si="9"/>
        <v>9.4298164456955403E-5</v>
      </c>
      <c r="F217">
        <f t="shared" si="10"/>
        <v>9.7107241983775544E-3</v>
      </c>
      <c r="G217" s="1">
        <f t="shared" ref="G217:G280" si="12">F217*$H$1</f>
        <v>2.2577433761227814E-2</v>
      </c>
      <c r="H217">
        <f t="shared" ref="H217:H280" si="13">G217*$H$2</f>
        <v>2257.7433761227812</v>
      </c>
      <c r="I217">
        <f t="shared" ref="I217:I280" si="14">H217*SQRT($H$3)</f>
        <v>10096.935329520829</v>
      </c>
    </row>
    <row r="218" spans="1:9" x14ac:dyDescent="0.45">
      <c r="A218">
        <v>7.4463741839281283E-4</v>
      </c>
      <c r="B218">
        <f t="shared" si="11"/>
        <v>5.5448488487071298E-7</v>
      </c>
      <c r="E218">
        <f t="shared" ref="E218:E281" si="15">(1-$E$1)*SUMPRODUCT($D$2:$D$151,B68:B217)</f>
        <v>9.1405136898002655E-5</v>
      </c>
      <c r="F218">
        <f t="shared" ref="F218:F281" si="16">SQRT(E218)</f>
        <v>9.5606033752061205E-3</v>
      </c>
      <c r="G218" s="1">
        <f t="shared" si="12"/>
        <v>2.2228402847354233E-2</v>
      </c>
      <c r="H218">
        <f t="shared" si="13"/>
        <v>2222.8402847354232</v>
      </c>
      <c r="I218">
        <f t="shared" si="14"/>
        <v>9940.8439595867894</v>
      </c>
    </row>
    <row r="219" spans="1:9" x14ac:dyDescent="0.45">
      <c r="A219">
        <v>2.6210955184069462E-3</v>
      </c>
      <c r="B219">
        <f t="shared" si="11"/>
        <v>6.8701417166129781E-6</v>
      </c>
      <c r="E219">
        <f t="shared" si="15"/>
        <v>8.6857070815651586E-5</v>
      </c>
      <c r="F219">
        <f t="shared" si="16"/>
        <v>9.3197140951668464E-3</v>
      </c>
      <c r="G219" s="1">
        <f t="shared" si="12"/>
        <v>2.1668335271262919E-2</v>
      </c>
      <c r="H219">
        <f t="shared" si="13"/>
        <v>2166.8335271262918</v>
      </c>
      <c r="I219">
        <f t="shared" si="14"/>
        <v>9690.3741251600459</v>
      </c>
    </row>
    <row r="220" spans="1:9" x14ac:dyDescent="0.45">
      <c r="A220">
        <v>-8.48442596179666E-3</v>
      </c>
      <c r="B220">
        <f t="shared" si="11"/>
        <v>7.1985483901209179E-5</v>
      </c>
      <c r="E220">
        <f t="shared" si="15"/>
        <v>8.2857416531980589E-5</v>
      </c>
      <c r="F220">
        <f t="shared" si="16"/>
        <v>9.1026049311161792E-3</v>
      </c>
      <c r="G220" s="1">
        <f t="shared" si="12"/>
        <v>2.1163556464845117E-2</v>
      </c>
      <c r="H220">
        <f t="shared" si="13"/>
        <v>2116.3556464845119</v>
      </c>
      <c r="I220">
        <f t="shared" si="14"/>
        <v>9464.630180209766</v>
      </c>
    </row>
    <row r="221" spans="1:9" x14ac:dyDescent="0.45">
      <c r="A221">
        <v>-1.8973992155224551E-3</v>
      </c>
      <c r="B221">
        <f t="shared" si="11"/>
        <v>3.6001237830652279E-6</v>
      </c>
      <c r="E221">
        <f t="shared" si="15"/>
        <v>8.2312667384816621E-5</v>
      </c>
      <c r="F221">
        <f t="shared" si="16"/>
        <v>9.0726328805268326E-3</v>
      </c>
      <c r="G221" s="1">
        <f t="shared" si="12"/>
        <v>2.1093871447224886E-2</v>
      </c>
      <c r="H221">
        <f t="shared" si="13"/>
        <v>2109.3871447224888</v>
      </c>
      <c r="I221">
        <f t="shared" si="14"/>
        <v>9433.4660929273432</v>
      </c>
    </row>
    <row r="222" spans="1:9" x14ac:dyDescent="0.45">
      <c r="A222">
        <v>9.8146301752422005E-3</v>
      </c>
      <c r="B222">
        <f t="shared" si="11"/>
        <v>9.6326965476774753E-5</v>
      </c>
      <c r="E222">
        <f t="shared" si="15"/>
        <v>7.8373619589455496E-5</v>
      </c>
      <c r="F222">
        <f t="shared" si="16"/>
        <v>8.8528876412984868E-3</v>
      </c>
      <c r="G222" s="1">
        <f t="shared" si="12"/>
        <v>2.0582963766018984E-2</v>
      </c>
      <c r="H222">
        <f t="shared" si="13"/>
        <v>2058.2963766018984</v>
      </c>
      <c r="I222">
        <f t="shared" si="14"/>
        <v>9204.9812318467048</v>
      </c>
    </row>
    <row r="223" spans="1:9" x14ac:dyDescent="0.45">
      <c r="A223">
        <v>-1.2274313121451996E-3</v>
      </c>
      <c r="B223">
        <f t="shared" si="11"/>
        <v>1.5065876260344864E-6</v>
      </c>
      <c r="E223">
        <f t="shared" si="15"/>
        <v>7.9271281961070412E-5</v>
      </c>
      <c r="F223">
        <f t="shared" si="16"/>
        <v>8.9034421411648655E-3</v>
      </c>
      <c r="G223" s="1">
        <f t="shared" si="12"/>
        <v>2.0700502978208316E-2</v>
      </c>
      <c r="H223">
        <f t="shared" si="13"/>
        <v>2070.0502978208315</v>
      </c>
      <c r="I223">
        <f t="shared" si="14"/>
        <v>9257.5463655421281</v>
      </c>
    </row>
    <row r="224" spans="1:9" x14ac:dyDescent="0.45">
      <c r="A224">
        <v>-9.2612481239484623E-3</v>
      </c>
      <c r="B224">
        <f t="shared" si="11"/>
        <v>8.5770716813338911E-5</v>
      </c>
      <c r="E224">
        <f t="shared" si="15"/>
        <v>7.5367353017920098E-5</v>
      </c>
      <c r="F224">
        <f t="shared" si="16"/>
        <v>8.681437266830884E-3</v>
      </c>
      <c r="G224" s="1">
        <f t="shared" si="12"/>
        <v>2.0184341645381805E-2</v>
      </c>
      <c r="H224">
        <f t="shared" si="13"/>
        <v>2018.4341645381805</v>
      </c>
      <c r="I224">
        <f t="shared" si="14"/>
        <v>9026.712000030735</v>
      </c>
    </row>
    <row r="225" spans="1:9" x14ac:dyDescent="0.45">
      <c r="A225">
        <v>-1.7659203876974061E-3</v>
      </c>
      <c r="B225">
        <f t="shared" si="11"/>
        <v>3.1184748156853569E-6</v>
      </c>
      <c r="E225">
        <f t="shared" si="15"/>
        <v>7.588635134937517E-5</v>
      </c>
      <c r="F225">
        <f t="shared" si="16"/>
        <v>8.711277251320565E-3</v>
      </c>
      <c r="G225" s="1">
        <f t="shared" si="12"/>
        <v>2.0253719609320316E-2</v>
      </c>
      <c r="H225">
        <f t="shared" si="13"/>
        <v>2025.3719609320317</v>
      </c>
      <c r="I225">
        <f t="shared" si="14"/>
        <v>9057.7387687321425</v>
      </c>
    </row>
    <row r="226" spans="1:9" x14ac:dyDescent="0.45">
      <c r="A226">
        <v>-8.8509750639786944E-4</v>
      </c>
      <c r="B226">
        <f t="shared" si="11"/>
        <v>7.8339759583172648E-7</v>
      </c>
      <c r="E226">
        <f t="shared" si="15"/>
        <v>7.2247919216051232E-5</v>
      </c>
      <c r="F226">
        <f t="shared" si="16"/>
        <v>8.4998776000629103E-3</v>
      </c>
      <c r="G226" s="1">
        <f t="shared" si="12"/>
        <v>1.9762215420146268E-2</v>
      </c>
      <c r="H226">
        <f t="shared" si="13"/>
        <v>1976.2215420146267</v>
      </c>
      <c r="I226">
        <f t="shared" si="14"/>
        <v>8837.9314130883249</v>
      </c>
    </row>
    <row r="227" spans="1:9" x14ac:dyDescent="0.45">
      <c r="A227">
        <v>-7.5486241257749498E-3</v>
      </c>
      <c r="B227">
        <f t="shared" si="11"/>
        <v>5.6981726192231622E-5</v>
      </c>
      <c r="E227">
        <f t="shared" si="15"/>
        <v>6.8672715048538916E-5</v>
      </c>
      <c r="F227">
        <f t="shared" si="16"/>
        <v>8.2869002074683461E-3</v>
      </c>
      <c r="G227" s="1">
        <f t="shared" si="12"/>
        <v>1.9267042982363907E-2</v>
      </c>
      <c r="H227">
        <f t="shared" si="13"/>
        <v>1926.7042982363907</v>
      </c>
      <c r="I227">
        <f t="shared" si="14"/>
        <v>8616.4835667951957</v>
      </c>
    </row>
    <row r="228" spans="1:9" x14ac:dyDescent="0.45">
      <c r="A228">
        <v>-1.1846600500575732E-2</v>
      </c>
      <c r="B228">
        <f t="shared" si="11"/>
        <v>1.403419434202412E-4</v>
      </c>
      <c r="E228">
        <f t="shared" si="15"/>
        <v>6.8084245854680819E-5</v>
      </c>
      <c r="F228">
        <f t="shared" si="16"/>
        <v>8.2513178253343766E-3</v>
      </c>
      <c r="G228" s="1">
        <f t="shared" si="12"/>
        <v>1.9184313943902426E-2</v>
      </c>
      <c r="H228">
        <f t="shared" si="13"/>
        <v>1918.4313943902425</v>
      </c>
      <c r="I228">
        <f t="shared" si="14"/>
        <v>8579.4860160525823</v>
      </c>
    </row>
    <row r="229" spans="1:9" x14ac:dyDescent="0.45">
      <c r="A229">
        <v>-1.2295140550122596E-2</v>
      </c>
      <c r="B229">
        <f t="shared" si="11"/>
        <v>1.5117048114726898E-4</v>
      </c>
      <c r="E229">
        <f t="shared" si="15"/>
        <v>7.1696491671404178E-5</v>
      </c>
      <c r="F229">
        <f t="shared" si="16"/>
        <v>8.4673780871887486E-3</v>
      </c>
      <c r="G229" s="1">
        <f t="shared" si="12"/>
        <v>1.9686654052713842E-2</v>
      </c>
      <c r="H229">
        <f t="shared" si="13"/>
        <v>1968.6654052713841</v>
      </c>
      <c r="I229">
        <f t="shared" si="14"/>
        <v>8804.1393422779765</v>
      </c>
    </row>
    <row r="230" spans="1:9" x14ac:dyDescent="0.45">
      <c r="A230">
        <v>-1.6787362255854532E-2</v>
      </c>
      <c r="B230">
        <f t="shared" si="11"/>
        <v>2.8181553150928936E-4</v>
      </c>
      <c r="E230">
        <f t="shared" si="15"/>
        <v>7.5669572681415741E-5</v>
      </c>
      <c r="F230">
        <f t="shared" si="16"/>
        <v>8.6988259369535463E-3</v>
      </c>
      <c r="G230" s="1">
        <f t="shared" si="12"/>
        <v>2.0224770303416996E-2</v>
      </c>
      <c r="H230">
        <f t="shared" si="13"/>
        <v>2022.4770303416997</v>
      </c>
      <c r="I230">
        <f t="shared" si="14"/>
        <v>9044.792245551891</v>
      </c>
    </row>
    <row r="231" spans="1:9" x14ac:dyDescent="0.45">
      <c r="A231">
        <v>-7.147787073336076E-3</v>
      </c>
      <c r="B231">
        <f t="shared" si="11"/>
        <v>5.1090860045750309E-5</v>
      </c>
      <c r="E231">
        <f t="shared" si="15"/>
        <v>8.596731982577914E-5</v>
      </c>
      <c r="F231">
        <f t="shared" si="16"/>
        <v>9.2718563311657894E-3</v>
      </c>
      <c r="G231" s="1">
        <f t="shared" si="12"/>
        <v>2.1557065969960463E-2</v>
      </c>
      <c r="H231">
        <f t="shared" si="13"/>
        <v>2155.7065969960463</v>
      </c>
      <c r="I231">
        <f t="shared" si="14"/>
        <v>9640.6129808558071</v>
      </c>
    </row>
    <row r="232" spans="1:9" x14ac:dyDescent="0.45">
      <c r="A232">
        <v>1.6515059542143717E-2</v>
      </c>
      <c r="B232">
        <f t="shared" si="11"/>
        <v>2.7274719168055223E-4</v>
      </c>
      <c r="E232">
        <f t="shared" si="15"/>
        <v>8.4221870264153281E-5</v>
      </c>
      <c r="F232">
        <f t="shared" si="16"/>
        <v>9.1772474230650061E-3</v>
      </c>
      <c r="G232" s="1">
        <f t="shared" si="12"/>
        <v>2.1337100258626143E-2</v>
      </c>
      <c r="H232">
        <f t="shared" si="13"/>
        <v>2133.7100258626142</v>
      </c>
      <c r="I232">
        <f t="shared" si="14"/>
        <v>9542.2413242032799</v>
      </c>
    </row>
    <row r="233" spans="1:9" x14ac:dyDescent="0.45">
      <c r="A233">
        <v>1.9270032680651639E-3</v>
      </c>
      <c r="B233">
        <f t="shared" si="11"/>
        <v>3.7133415951338218E-6</v>
      </c>
      <c r="E233">
        <f t="shared" si="15"/>
        <v>9.3648135308362315E-5</v>
      </c>
      <c r="F233">
        <f t="shared" si="16"/>
        <v>9.677196665789237E-3</v>
      </c>
      <c r="G233" s="1">
        <f t="shared" si="12"/>
        <v>2.2499482247959977E-2</v>
      </c>
      <c r="H233">
        <f t="shared" si="13"/>
        <v>2249.9482247959977</v>
      </c>
      <c r="I233">
        <f t="shared" si="14"/>
        <v>10062.074352997657</v>
      </c>
    </row>
    <row r="234" spans="1:9" x14ac:dyDescent="0.45">
      <c r="A234">
        <v>-1.815815267036669E-2</v>
      </c>
      <c r="B234">
        <f t="shared" si="11"/>
        <v>3.2971850840034494E-4</v>
      </c>
      <c r="E234">
        <f t="shared" si="15"/>
        <v>8.9148881752831687E-5</v>
      </c>
      <c r="F234">
        <f t="shared" si="16"/>
        <v>9.4418685519780301E-3</v>
      </c>
      <c r="G234" s="1">
        <f t="shared" si="12"/>
        <v>2.1952344383348921E-2</v>
      </c>
      <c r="H234">
        <f t="shared" si="13"/>
        <v>2195.2344383348923</v>
      </c>
      <c r="I234">
        <f t="shared" si="14"/>
        <v>9817.3868613307786</v>
      </c>
    </row>
    <row r="235" spans="1:9" x14ac:dyDescent="0.45">
      <c r="A235">
        <v>-6.5462245402159169E-3</v>
      </c>
      <c r="B235">
        <f t="shared" si="11"/>
        <v>4.2853055730925095E-5</v>
      </c>
      <c r="E235">
        <f t="shared" si="15"/>
        <v>1.0117713291506032E-4</v>
      </c>
      <c r="F235">
        <f t="shared" si="16"/>
        <v>1.0058684452504726E-2</v>
      </c>
      <c r="G235" s="1">
        <f t="shared" si="12"/>
        <v>2.3386441352073489E-2</v>
      </c>
      <c r="H235">
        <f t="shared" si="13"/>
        <v>2338.6441352073489</v>
      </c>
      <c r="I235">
        <f t="shared" si="14"/>
        <v>10458.734523009683</v>
      </c>
    </row>
    <row r="236" spans="1:9" x14ac:dyDescent="0.45">
      <c r="A236">
        <v>-1.8321770767215639E-4</v>
      </c>
      <c r="B236">
        <f t="shared" si="11"/>
        <v>3.3568728404639756E-8</v>
      </c>
      <c r="E236">
        <f t="shared" si="15"/>
        <v>9.8260926456571505E-5</v>
      </c>
      <c r="F236">
        <f t="shared" si="16"/>
        <v>9.9126649523007433E-3</v>
      </c>
      <c r="G236" s="1">
        <f t="shared" si="12"/>
        <v>2.3046946014099231E-2</v>
      </c>
      <c r="H236">
        <f t="shared" si="13"/>
        <v>2304.6946014099231</v>
      </c>
      <c r="I236">
        <f t="shared" si="14"/>
        <v>10306.907592258742</v>
      </c>
    </row>
    <row r="237" spans="1:9" x14ac:dyDescent="0.45">
      <c r="A237">
        <v>1.7787442629924044E-4</v>
      </c>
      <c r="B237">
        <f t="shared" si="11"/>
        <v>3.1639311531283919E-8</v>
      </c>
      <c r="E237">
        <f t="shared" si="15"/>
        <v>9.3345521918963283E-5</v>
      </c>
      <c r="F237">
        <f t="shared" si="16"/>
        <v>9.661548629436344E-3</v>
      </c>
      <c r="G237" s="1">
        <f t="shared" si="12"/>
        <v>2.2463100563439503E-2</v>
      </c>
      <c r="H237">
        <f t="shared" si="13"/>
        <v>2246.3100563439502</v>
      </c>
      <c r="I237">
        <f t="shared" si="14"/>
        <v>10045.803969052911</v>
      </c>
    </row>
    <row r="238" spans="1:9" x14ac:dyDescent="0.45">
      <c r="A238">
        <v>3.0336195777636021E-4</v>
      </c>
      <c r="B238">
        <f t="shared" si="11"/>
        <v>9.2028477425906157E-8</v>
      </c>
      <c r="E238">
        <f t="shared" si="15"/>
        <v>8.8671507291616434E-5</v>
      </c>
      <c r="F238">
        <f t="shared" si="16"/>
        <v>9.4165549587742776E-3</v>
      </c>
      <c r="G238" s="1">
        <f t="shared" si="12"/>
        <v>2.1893490279150198E-2</v>
      </c>
      <c r="H238">
        <f t="shared" si="13"/>
        <v>2189.3490279150196</v>
      </c>
      <c r="I238">
        <f t="shared" si="14"/>
        <v>9791.066505782137</v>
      </c>
    </row>
    <row r="239" spans="1:9" x14ac:dyDescent="0.45">
      <c r="A239">
        <v>-8.5074816524866037E-3</v>
      </c>
      <c r="B239">
        <f t="shared" si="11"/>
        <v>7.2377244067396192E-5</v>
      </c>
      <c r="E239">
        <f t="shared" si="15"/>
        <v>8.4236851946315982E-5</v>
      </c>
      <c r="F239">
        <f t="shared" si="16"/>
        <v>9.1780636272754176E-3</v>
      </c>
      <c r="G239" s="1">
        <f t="shared" si="12"/>
        <v>2.1338997933415347E-2</v>
      </c>
      <c r="H239">
        <f t="shared" si="13"/>
        <v>2133.8997933415349</v>
      </c>
      <c r="I239">
        <f t="shared" si="14"/>
        <v>9543.0899901688499</v>
      </c>
    </row>
    <row r="240" spans="1:9" x14ac:dyDescent="0.45">
      <c r="A240">
        <v>-2.6201450964435935E-2</v>
      </c>
      <c r="B240">
        <f t="shared" si="11"/>
        <v>6.8651603264174074E-4</v>
      </c>
      <c r="E240">
        <f t="shared" si="15"/>
        <v>8.3643731768329578E-5</v>
      </c>
      <c r="F240">
        <f t="shared" si="16"/>
        <v>9.1456947121763017E-3</v>
      </c>
      <c r="G240" s="1">
        <f t="shared" si="12"/>
        <v>2.1263740205809904E-2</v>
      </c>
      <c r="H240">
        <f t="shared" si="13"/>
        <v>2126.3740205809904</v>
      </c>
      <c r="I240">
        <f t="shared" si="14"/>
        <v>9509.4337112172634</v>
      </c>
    </row>
    <row r="241" spans="1:9" x14ac:dyDescent="0.45">
      <c r="A241">
        <v>2.5712552087497897E-3</v>
      </c>
      <c r="B241">
        <f t="shared" si="11"/>
        <v>6.6113533485229248E-6</v>
      </c>
      <c r="E241">
        <f t="shared" si="15"/>
        <v>1.1378597488043253E-4</v>
      </c>
      <c r="F241">
        <f t="shared" si="16"/>
        <v>1.0667050898933245E-2</v>
      </c>
      <c r="G241" s="1">
        <f t="shared" si="12"/>
        <v>2.4800893340019795E-2</v>
      </c>
      <c r="H241">
        <f t="shared" si="13"/>
        <v>2480.0893340019793</v>
      </c>
      <c r="I241">
        <f t="shared" si="14"/>
        <v>11091.296682201213</v>
      </c>
    </row>
    <row r="242" spans="1:9" x14ac:dyDescent="0.45">
      <c r="A242">
        <v>-1.6122839952004142E-3</v>
      </c>
      <c r="B242">
        <f t="shared" si="11"/>
        <v>2.5994596811794092E-6</v>
      </c>
      <c r="E242">
        <f t="shared" si="15"/>
        <v>1.0842602241498679E-4</v>
      </c>
      <c r="F242">
        <f t="shared" si="16"/>
        <v>1.0412781684784655E-2</v>
      </c>
      <c r="G242" s="1">
        <f t="shared" si="12"/>
        <v>2.4209717417124327E-2</v>
      </c>
      <c r="H242">
        <f t="shared" si="13"/>
        <v>2420.9717417124325</v>
      </c>
      <c r="I242">
        <f t="shared" si="14"/>
        <v>10826.914772150125</v>
      </c>
    </row>
    <row r="243" spans="1:9" x14ac:dyDescent="0.45">
      <c r="A243">
        <v>4.4958596845390275E-4</v>
      </c>
      <c r="B243">
        <f t="shared" si="11"/>
        <v>2.0212754303063364E-7</v>
      </c>
      <c r="E243">
        <f t="shared" si="15"/>
        <v>1.0313246107844447E-4</v>
      </c>
      <c r="F243">
        <f t="shared" si="16"/>
        <v>1.0155415357258632E-2</v>
      </c>
      <c r="G243" s="1">
        <f t="shared" si="12"/>
        <v>2.3611340705626319E-2</v>
      </c>
      <c r="H243">
        <f t="shared" si="13"/>
        <v>2361.1340705626321</v>
      </c>
      <c r="I243">
        <f t="shared" si="14"/>
        <v>10559.312571537661</v>
      </c>
    </row>
    <row r="244" spans="1:9" x14ac:dyDescent="0.45">
      <c r="A244">
        <v>3.2755565371189732E-3</v>
      </c>
      <c r="B244">
        <f t="shared" si="11"/>
        <v>1.0729270627862839E-5</v>
      </c>
      <c r="E244">
        <f t="shared" si="15"/>
        <v>9.7983988262082981E-5</v>
      </c>
      <c r="F244">
        <f t="shared" si="16"/>
        <v>9.8986861886860011E-3</v>
      </c>
      <c r="G244" s="1">
        <f t="shared" si="12"/>
        <v>2.3014445388694956E-2</v>
      </c>
      <c r="H244">
        <f t="shared" si="13"/>
        <v>2301.4445388694958</v>
      </c>
      <c r="I244">
        <f t="shared" si="14"/>
        <v>10292.372870715699</v>
      </c>
    </row>
    <row r="245" spans="1:9" x14ac:dyDescent="0.45">
      <c r="A245">
        <v>-2.8052227207808755E-3</v>
      </c>
      <c r="B245">
        <f t="shared" si="11"/>
        <v>7.8692745131852583E-6</v>
      </c>
      <c r="E245">
        <f t="shared" si="15"/>
        <v>9.3617316361263868E-5</v>
      </c>
      <c r="F245">
        <f t="shared" si="16"/>
        <v>9.6756041858513352E-3</v>
      </c>
      <c r="G245" s="1">
        <f t="shared" si="12"/>
        <v>2.2495779732104357E-2</v>
      </c>
      <c r="H245">
        <f t="shared" si="13"/>
        <v>2249.5779732104356</v>
      </c>
      <c r="I245">
        <f t="shared" si="14"/>
        <v>10060.418537569471</v>
      </c>
    </row>
    <row r="246" spans="1:9" x14ac:dyDescent="0.45">
      <c r="A246">
        <v>1.0094618119182996E-2</v>
      </c>
      <c r="B246">
        <f t="shared" si="11"/>
        <v>1.0190131497213766E-4</v>
      </c>
      <c r="E246">
        <f t="shared" si="15"/>
        <v>8.9327956141773782E-5</v>
      </c>
      <c r="F246">
        <f t="shared" si="16"/>
        <v>9.4513467898376148E-3</v>
      </c>
      <c r="G246" s="1">
        <f t="shared" si="12"/>
        <v>2.1974381286372455E-2</v>
      </c>
      <c r="H246">
        <f t="shared" si="13"/>
        <v>2197.4381286372454</v>
      </c>
      <c r="I246">
        <f t="shared" si="14"/>
        <v>9827.2420639656175</v>
      </c>
    </row>
    <row r="247" spans="1:9" x14ac:dyDescent="0.45">
      <c r="A247">
        <v>5.9273020269756671E-3</v>
      </c>
      <c r="B247">
        <f t="shared" si="11"/>
        <v>3.5132909318989852E-5</v>
      </c>
      <c r="E247">
        <f t="shared" si="15"/>
        <v>8.9956561933670606E-5</v>
      </c>
      <c r="F247">
        <f t="shared" si="16"/>
        <v>9.4845433170854671E-3</v>
      </c>
      <c r="G247" s="1">
        <f t="shared" si="12"/>
        <v>2.2051563212223714E-2</v>
      </c>
      <c r="H247">
        <f t="shared" si="13"/>
        <v>2205.1563212223714</v>
      </c>
      <c r="I247">
        <f t="shared" si="14"/>
        <v>9861.7588705331691</v>
      </c>
    </row>
    <row r="248" spans="1:9" x14ac:dyDescent="0.45">
      <c r="A248">
        <v>-1.2889813660876825E-4</v>
      </c>
      <c r="B248">
        <f t="shared" si="11"/>
        <v>1.6614729621212683E-8</v>
      </c>
      <c r="E248">
        <f t="shared" si="15"/>
        <v>8.7209873136246381E-5</v>
      </c>
      <c r="F248">
        <f t="shared" si="16"/>
        <v>9.338622657343339E-3</v>
      </c>
      <c r="G248" s="1">
        <f t="shared" si="12"/>
        <v>2.1712297678323264E-2</v>
      </c>
      <c r="H248">
        <f t="shared" si="13"/>
        <v>2171.2297678323266</v>
      </c>
      <c r="I248">
        <f t="shared" si="14"/>
        <v>9710.0347112883373</v>
      </c>
    </row>
    <row r="249" spans="1:9" x14ac:dyDescent="0.45">
      <c r="A249">
        <v>-1.7548336472827941E-2</v>
      </c>
      <c r="B249">
        <f t="shared" si="11"/>
        <v>3.0794411296358341E-4</v>
      </c>
      <c r="E249">
        <f t="shared" si="15"/>
        <v>8.284985450007891E-5</v>
      </c>
      <c r="F249">
        <f t="shared" si="16"/>
        <v>9.1021895442843261E-3</v>
      </c>
      <c r="G249" s="1">
        <f t="shared" si="12"/>
        <v>2.1162590690461058E-2</v>
      </c>
      <c r="H249">
        <f t="shared" si="13"/>
        <v>2116.2590690461057</v>
      </c>
      <c r="I249">
        <f t="shared" si="14"/>
        <v>9464.1982727750274</v>
      </c>
    </row>
    <row r="250" spans="1:9" x14ac:dyDescent="0.45">
      <c r="A250">
        <v>-1.6166177374543622E-2</v>
      </c>
      <c r="B250">
        <f t="shared" si="11"/>
        <v>2.6134529090520613E-4</v>
      </c>
      <c r="E250">
        <f t="shared" si="15"/>
        <v>9.4096801309179792E-5</v>
      </c>
      <c r="F250">
        <f t="shared" si="16"/>
        <v>9.7003505766121555E-3</v>
      </c>
      <c r="G250" s="1">
        <f t="shared" si="12"/>
        <v>2.2553315090623263E-2</v>
      </c>
      <c r="H250">
        <f t="shared" si="13"/>
        <v>2255.3315090623264</v>
      </c>
      <c r="I250">
        <f t="shared" si="14"/>
        <v>10086.149132121091</v>
      </c>
    </row>
    <row r="251" spans="1:9" x14ac:dyDescent="0.45">
      <c r="A251">
        <v>1.2349073585937731E-2</v>
      </c>
      <c r="B251">
        <f t="shared" si="11"/>
        <v>1.5249961843090496E-4</v>
      </c>
      <c r="E251">
        <f t="shared" si="15"/>
        <v>1.0245843315063819E-4</v>
      </c>
      <c r="F251">
        <f t="shared" si="16"/>
        <v>1.0122175317126166E-2</v>
      </c>
      <c r="G251" s="1">
        <f t="shared" si="12"/>
        <v>2.3534057612318339E-2</v>
      </c>
      <c r="H251">
        <f t="shared" si="13"/>
        <v>2353.4057612318338</v>
      </c>
      <c r="I251">
        <f t="shared" si="14"/>
        <v>10524.75052150804</v>
      </c>
    </row>
    <row r="252" spans="1:9" x14ac:dyDescent="0.45">
      <c r="A252">
        <v>7.5455773185240105E-3</v>
      </c>
      <c r="B252">
        <f t="shared" si="11"/>
        <v>5.6935737069823994E-5</v>
      </c>
      <c r="E252">
        <f t="shared" si="15"/>
        <v>1.0495575310841406E-4</v>
      </c>
      <c r="F252">
        <f t="shared" si="16"/>
        <v>1.0244791511222377E-2</v>
      </c>
      <c r="G252" s="1">
        <f t="shared" si="12"/>
        <v>2.3819140263592026E-2</v>
      </c>
      <c r="H252">
        <f t="shared" si="13"/>
        <v>2381.9140263592026</v>
      </c>
      <c r="I252">
        <f t="shared" si="14"/>
        <v>10652.243358998807</v>
      </c>
    </row>
    <row r="253" spans="1:9" x14ac:dyDescent="0.45">
      <c r="A253">
        <v>-4.546336640487425E-3</v>
      </c>
      <c r="B253">
        <f t="shared" si="11"/>
        <v>2.0669176848638488E-5</v>
      </c>
      <c r="E253">
        <f t="shared" si="15"/>
        <v>1.0255378438420054E-4</v>
      </c>
      <c r="F253">
        <f t="shared" si="16"/>
        <v>1.0126884238708396E-2</v>
      </c>
      <c r="G253" s="1">
        <f t="shared" si="12"/>
        <v>2.3545005854997022E-2</v>
      </c>
      <c r="H253">
        <f t="shared" si="13"/>
        <v>2354.5005854997021</v>
      </c>
      <c r="I253">
        <f t="shared" si="14"/>
        <v>10529.646724480779</v>
      </c>
    </row>
    <row r="254" spans="1:9" x14ac:dyDescent="0.45">
      <c r="A254">
        <v>-2.8370777727104723E-3</v>
      </c>
      <c r="B254">
        <f t="shared" si="11"/>
        <v>8.0490102884078146E-6</v>
      </c>
      <c r="E254">
        <f t="shared" si="15"/>
        <v>9.8450877068662171E-5</v>
      </c>
      <c r="F254">
        <f t="shared" si="16"/>
        <v>9.9222415344851472E-3</v>
      </c>
      <c r="G254" s="1">
        <f t="shared" si="12"/>
        <v>2.306921156767797E-2</v>
      </c>
      <c r="H254">
        <f t="shared" si="13"/>
        <v>2306.9211567677971</v>
      </c>
      <c r="I254">
        <f t="shared" si="14"/>
        <v>10316.865050530487</v>
      </c>
    </row>
    <row r="255" spans="1:9" x14ac:dyDescent="0.45">
      <c r="A255">
        <v>3.0792307370575145E-3</v>
      </c>
      <c r="B255">
        <f t="shared" si="11"/>
        <v>9.4816619320397637E-6</v>
      </c>
      <c r="E255">
        <f t="shared" si="15"/>
        <v>9.3930713693933586E-5</v>
      </c>
      <c r="F255">
        <f t="shared" si="16"/>
        <v>9.6917858877470873E-3</v>
      </c>
      <c r="G255" s="1">
        <f t="shared" si="12"/>
        <v>2.2533402189011981E-2</v>
      </c>
      <c r="H255">
        <f t="shared" si="13"/>
        <v>2253.3402189011981</v>
      </c>
      <c r="I255">
        <f t="shared" si="14"/>
        <v>10077.243811794671</v>
      </c>
    </row>
    <row r="256" spans="1:9" x14ac:dyDescent="0.45">
      <c r="A256">
        <v>-9.8190184871782549E-4</v>
      </c>
      <c r="B256">
        <f t="shared" si="11"/>
        <v>9.6413124051548354E-7</v>
      </c>
      <c r="E256">
        <f t="shared" si="15"/>
        <v>8.9708159576304064E-5</v>
      </c>
      <c r="F256">
        <f t="shared" si="16"/>
        <v>9.4714391502191513E-3</v>
      </c>
      <c r="G256" s="1">
        <f t="shared" si="12"/>
        <v>2.2021096024259529E-2</v>
      </c>
      <c r="H256">
        <f t="shared" si="13"/>
        <v>2202.1096024259527</v>
      </c>
      <c r="I256">
        <f t="shared" si="14"/>
        <v>9848.1335298589329</v>
      </c>
    </row>
    <row r="257" spans="1:9" x14ac:dyDescent="0.45">
      <c r="A257">
        <v>-2.4496671358065214E-3</v>
      </c>
      <c r="B257">
        <f t="shared" si="11"/>
        <v>6.0008690762505266E-6</v>
      </c>
      <c r="E257">
        <f t="shared" si="15"/>
        <v>8.5268252523042161E-5</v>
      </c>
      <c r="F257">
        <f t="shared" si="16"/>
        <v>9.2340810329475751E-3</v>
      </c>
      <c r="G257" s="1">
        <f t="shared" si="12"/>
        <v>2.1469238401603113E-2</v>
      </c>
      <c r="H257">
        <f t="shared" si="13"/>
        <v>2146.9238401603116</v>
      </c>
      <c r="I257">
        <f t="shared" si="14"/>
        <v>9601.3352982267006</v>
      </c>
    </row>
    <row r="258" spans="1:9" x14ac:dyDescent="0.45">
      <c r="A258">
        <v>-9.4578354037366807E-4</v>
      </c>
      <c r="B258">
        <f t="shared" si="11"/>
        <v>8.9450650524174983E-7</v>
      </c>
      <c r="E258">
        <f t="shared" si="15"/>
        <v>8.1304789632681649E-5</v>
      </c>
      <c r="F258">
        <f t="shared" si="16"/>
        <v>9.0169168584767184E-3</v>
      </c>
      <c r="G258" s="1">
        <f t="shared" si="12"/>
        <v>2.096433169595837E-2</v>
      </c>
      <c r="H258">
        <f t="shared" si="13"/>
        <v>2096.4331695958372</v>
      </c>
      <c r="I258">
        <f t="shared" si="14"/>
        <v>9375.5341550032754</v>
      </c>
    </row>
    <row r="259" spans="1:9" x14ac:dyDescent="0.45">
      <c r="A259">
        <v>-5.0198195822304115E-3</v>
      </c>
      <c r="B259">
        <f t="shared" ref="B259:B322" si="17">A259^2</f>
        <v>2.5198588638143903E-5</v>
      </c>
      <c r="E259">
        <f t="shared" si="15"/>
        <v>7.726828359894067E-5</v>
      </c>
      <c r="F259">
        <f t="shared" si="16"/>
        <v>8.7902379716899969E-3</v>
      </c>
      <c r="G259" s="1">
        <f t="shared" si="12"/>
        <v>2.0437303284179243E-2</v>
      </c>
      <c r="H259">
        <f t="shared" si="13"/>
        <v>2043.7303284179243</v>
      </c>
      <c r="I259">
        <f t="shared" si="14"/>
        <v>9139.8398840408991</v>
      </c>
    </row>
    <row r="260" spans="1:9" x14ac:dyDescent="0.45">
      <c r="A260">
        <v>-9.9706085165962577E-3</v>
      </c>
      <c r="B260">
        <f t="shared" si="17"/>
        <v>9.9413034191221826E-5</v>
      </c>
      <c r="E260">
        <f t="shared" si="15"/>
        <v>7.4662489454015157E-5</v>
      </c>
      <c r="F260">
        <f t="shared" si="16"/>
        <v>8.6407458852818461E-3</v>
      </c>
      <c r="G260" s="1">
        <f t="shared" si="12"/>
        <v>2.0089734183280295E-2</v>
      </c>
      <c r="H260">
        <f t="shared" si="13"/>
        <v>2008.9734183280295</v>
      </c>
      <c r="I260">
        <f t="shared" si="14"/>
        <v>8984.402256743193</v>
      </c>
    </row>
    <row r="261" spans="1:9" x14ac:dyDescent="0.45">
      <c r="A261">
        <v>1.7876800484373234E-3</v>
      </c>
      <c r="B261">
        <f t="shared" si="17"/>
        <v>3.195799955580871E-6</v>
      </c>
      <c r="E261">
        <f t="shared" si="15"/>
        <v>7.5899977466728095E-5</v>
      </c>
      <c r="F261">
        <f t="shared" si="16"/>
        <v>8.7120593126268422E-3</v>
      </c>
      <c r="G261" s="1">
        <f t="shared" si="12"/>
        <v>2.0255537901857409E-2</v>
      </c>
      <c r="H261">
        <f t="shared" si="13"/>
        <v>2025.5537901857408</v>
      </c>
      <c r="I261">
        <f t="shared" si="14"/>
        <v>9058.5519338753256</v>
      </c>
    </row>
    <row r="262" spans="1:9" x14ac:dyDescent="0.45">
      <c r="A262">
        <v>1.174271346826572E-3</v>
      </c>
      <c r="B262">
        <f t="shared" si="17"/>
        <v>1.3789131959778912E-6</v>
      </c>
      <c r="E262">
        <f t="shared" si="15"/>
        <v>7.2264679431300282E-5</v>
      </c>
      <c r="F262">
        <f t="shared" si="16"/>
        <v>8.5008634521029844E-3</v>
      </c>
      <c r="G262" s="1">
        <f t="shared" si="12"/>
        <v>1.9764507526139442E-2</v>
      </c>
      <c r="H262">
        <f t="shared" si="13"/>
        <v>1976.4507526139441</v>
      </c>
      <c r="I262">
        <f t="shared" si="14"/>
        <v>8838.9564740507994</v>
      </c>
    </row>
    <row r="263" spans="1:9" x14ac:dyDescent="0.45">
      <c r="A263">
        <v>-9.8904365586349741E-3</v>
      </c>
      <c r="B263">
        <f t="shared" si="17"/>
        <v>9.7820735320383232E-5</v>
      </c>
      <c r="E263">
        <f t="shared" si="15"/>
        <v>6.8718418540877563E-5</v>
      </c>
      <c r="F263">
        <f t="shared" si="16"/>
        <v>8.2896573234891666E-3</v>
      </c>
      <c r="G263" s="1">
        <f t="shared" si="12"/>
        <v>1.9273453277112315E-2</v>
      </c>
      <c r="H263">
        <f t="shared" si="13"/>
        <v>1927.3453277112314</v>
      </c>
      <c r="I263">
        <f t="shared" si="14"/>
        <v>8619.3503377578454</v>
      </c>
    </row>
    <row r="264" spans="1:9" x14ac:dyDescent="0.45">
      <c r="A264">
        <v>4.4414036892703734E-3</v>
      </c>
      <c r="B264">
        <f t="shared" si="17"/>
        <v>1.9726066731064485E-5</v>
      </c>
      <c r="E264">
        <f t="shared" si="15"/>
        <v>7.017257094257965E-5</v>
      </c>
      <c r="F264">
        <f t="shared" si="16"/>
        <v>8.3769070033383828E-3</v>
      </c>
      <c r="G264" s="1">
        <f t="shared" si="12"/>
        <v>1.9476308782761742E-2</v>
      </c>
      <c r="H264">
        <f t="shared" si="13"/>
        <v>1947.6308782761741</v>
      </c>
      <c r="I264">
        <f t="shared" si="14"/>
        <v>8710.0700778062874</v>
      </c>
    </row>
    <row r="265" spans="1:9" x14ac:dyDescent="0.45">
      <c r="A265">
        <v>3.5618541005533189E-3</v>
      </c>
      <c r="B265">
        <f t="shared" si="17"/>
        <v>1.2686804633628491E-5</v>
      </c>
      <c r="E265">
        <f t="shared" si="15"/>
        <v>6.7650242049007551E-5</v>
      </c>
      <c r="F265">
        <f t="shared" si="16"/>
        <v>8.2249767202714659E-3</v>
      </c>
      <c r="G265" s="1">
        <f t="shared" si="12"/>
        <v>1.9123070874631158E-2</v>
      </c>
      <c r="H265">
        <f t="shared" si="13"/>
        <v>1912.3070874631157</v>
      </c>
      <c r="I265">
        <f t="shared" si="14"/>
        <v>8552.0972828443264</v>
      </c>
    </row>
    <row r="266" spans="1:9" x14ac:dyDescent="0.45">
      <c r="A266">
        <v>-1.543353391753044E-2</v>
      </c>
      <c r="B266">
        <f t="shared" si="17"/>
        <v>2.3819396918356249E-4</v>
      </c>
      <c r="E266">
        <f t="shared" si="15"/>
        <v>6.4901731059110174E-5</v>
      </c>
      <c r="F266">
        <f t="shared" si="16"/>
        <v>8.0561610621381063E-3</v>
      </c>
      <c r="G266" s="1">
        <f t="shared" si="12"/>
        <v>1.8730574469471097E-2</v>
      </c>
      <c r="H266">
        <f t="shared" si="13"/>
        <v>1873.0574469471098</v>
      </c>
      <c r="I266">
        <f t="shared" si="14"/>
        <v>8376.5675542718873</v>
      </c>
    </row>
    <row r="267" spans="1:9" x14ac:dyDescent="0.45">
      <c r="A267">
        <v>1.0788653526105918E-2</v>
      </c>
      <c r="B267">
        <f t="shared" si="17"/>
        <v>1.1639504490635766E-4</v>
      </c>
      <c r="E267">
        <f t="shared" si="15"/>
        <v>7.3565956273438071E-5</v>
      </c>
      <c r="F267">
        <f t="shared" si="16"/>
        <v>8.5770598851493442E-3</v>
      </c>
      <c r="G267" s="1">
        <f t="shared" si="12"/>
        <v>1.9941664232972226E-2</v>
      </c>
      <c r="H267">
        <f t="shared" si="13"/>
        <v>1994.1664232972225</v>
      </c>
      <c r="I267">
        <f t="shared" si="14"/>
        <v>8918.1833618804194</v>
      </c>
    </row>
    <row r="268" spans="1:9" x14ac:dyDescent="0.45">
      <c r="A268">
        <v>3.8074745134508703E-3</v>
      </c>
      <c r="B268">
        <f t="shared" si="17"/>
        <v>1.4496862170577942E-5</v>
      </c>
      <c r="E268">
        <f t="shared" si="15"/>
        <v>7.5704156791758605E-5</v>
      </c>
      <c r="F268">
        <f t="shared" si="16"/>
        <v>8.7008135706816876E-3</v>
      </c>
      <c r="G268" s="1">
        <f t="shared" si="12"/>
        <v>2.0229391551834924E-2</v>
      </c>
      <c r="H268">
        <f t="shared" si="13"/>
        <v>2022.9391551834924</v>
      </c>
      <c r="I268">
        <f t="shared" si="14"/>
        <v>9046.8589306725698</v>
      </c>
    </row>
    <row r="269" spans="1:9" x14ac:dyDescent="0.45">
      <c r="A269">
        <v>-1.3005092114326544E-2</v>
      </c>
      <c r="B269">
        <f t="shared" si="17"/>
        <v>1.6913242090211845E-4</v>
      </c>
      <c r="E269">
        <f t="shared" si="15"/>
        <v>7.264378816436216E-5</v>
      </c>
      <c r="F269">
        <f t="shared" si="16"/>
        <v>8.5231325323710735E-3</v>
      </c>
      <c r="G269" s="1">
        <f t="shared" si="12"/>
        <v>1.9816283137762746E-2</v>
      </c>
      <c r="H269">
        <f t="shared" si="13"/>
        <v>1981.6283137762746</v>
      </c>
      <c r="I269">
        <f t="shared" si="14"/>
        <v>8862.1112314840666</v>
      </c>
    </row>
    <row r="270" spans="1:9" x14ac:dyDescent="0.45">
      <c r="A270">
        <v>5.6567955653008539E-3</v>
      </c>
      <c r="B270">
        <f t="shared" si="17"/>
        <v>3.1999336067607407E-5</v>
      </c>
      <c r="E270">
        <f t="shared" si="15"/>
        <v>7.7466050465475569E-5</v>
      </c>
      <c r="F270">
        <f t="shared" si="16"/>
        <v>8.8014800156266653E-3</v>
      </c>
      <c r="G270" s="1">
        <f t="shared" si="12"/>
        <v>2.0463441036331999E-2</v>
      </c>
      <c r="H270">
        <f t="shared" si="13"/>
        <v>2046.3441036331999</v>
      </c>
      <c r="I270">
        <f t="shared" si="14"/>
        <v>9151.52904215942</v>
      </c>
    </row>
    <row r="271" spans="1:9" x14ac:dyDescent="0.45">
      <c r="A271">
        <v>-6.5481117417220958E-3</v>
      </c>
      <c r="B271">
        <f t="shared" si="17"/>
        <v>4.2877767382078776E-5</v>
      </c>
      <c r="E271">
        <f t="shared" si="15"/>
        <v>7.5192063717291474E-5</v>
      </c>
      <c r="F271">
        <f t="shared" si="16"/>
        <v>8.671335751618171E-3</v>
      </c>
      <c r="G271" s="1">
        <f t="shared" si="12"/>
        <v>2.0160855622512248E-2</v>
      </c>
      <c r="H271">
        <f t="shared" si="13"/>
        <v>2016.0855622512249</v>
      </c>
      <c r="I271">
        <f t="shared" si="14"/>
        <v>9016.2087312992462</v>
      </c>
    </row>
    <row r="272" spans="1:9" x14ac:dyDescent="0.45">
      <c r="A272">
        <v>-1.2905957191833295E-2</v>
      </c>
      <c r="B272">
        <f t="shared" si="17"/>
        <v>1.6656373103743355E-4</v>
      </c>
      <c r="E272">
        <f t="shared" si="15"/>
        <v>7.3568782274944201E-5</v>
      </c>
      <c r="F272">
        <f t="shared" si="16"/>
        <v>8.5772246254219205E-3</v>
      </c>
      <c r="G272" s="1">
        <f t="shared" si="12"/>
        <v>1.9942047254105966E-2</v>
      </c>
      <c r="H272">
        <f t="shared" si="13"/>
        <v>1994.2047254105967</v>
      </c>
      <c r="I272">
        <f t="shared" si="14"/>
        <v>8918.3546541387932</v>
      </c>
    </row>
    <row r="273" spans="1:9" x14ac:dyDescent="0.45">
      <c r="A273">
        <v>5.5663576858933084E-3</v>
      </c>
      <c r="B273">
        <f t="shared" si="17"/>
        <v>3.0984337887303504E-5</v>
      </c>
      <c r="E273">
        <f t="shared" si="15"/>
        <v>7.8212741214067082E-5</v>
      </c>
      <c r="F273">
        <f t="shared" si="16"/>
        <v>8.8437967646292671E-3</v>
      </c>
      <c r="G273" s="1">
        <f t="shared" si="12"/>
        <v>2.0561827477763049E-2</v>
      </c>
      <c r="H273">
        <f t="shared" si="13"/>
        <v>2056.182747776305</v>
      </c>
      <c r="I273">
        <f t="shared" si="14"/>
        <v>9195.5287963802457</v>
      </c>
    </row>
    <row r="274" spans="1:9" x14ac:dyDescent="0.45">
      <c r="A274">
        <v>-4.6092054617474787E-3</v>
      </c>
      <c r="B274">
        <f t="shared" si="17"/>
        <v>2.1244774988602787E-5</v>
      </c>
      <c r="E274">
        <f t="shared" si="15"/>
        <v>7.5850064918964966E-5</v>
      </c>
      <c r="F274">
        <f t="shared" si="16"/>
        <v>8.7091942749582159E-3</v>
      </c>
      <c r="G274" s="1">
        <f t="shared" si="12"/>
        <v>2.0248876689277853E-2</v>
      </c>
      <c r="H274">
        <f t="shared" si="13"/>
        <v>2024.8876689277852</v>
      </c>
      <c r="I274">
        <f t="shared" si="14"/>
        <v>9055.5729490472331</v>
      </c>
    </row>
    <row r="275" spans="1:9" x14ac:dyDescent="0.45">
      <c r="A275">
        <v>-1.746338966768235E-2</v>
      </c>
      <c r="B275">
        <f t="shared" si="17"/>
        <v>3.0496997868531463E-4</v>
      </c>
      <c r="E275">
        <f t="shared" si="15"/>
        <v>7.3119379591403749E-5</v>
      </c>
      <c r="F275">
        <f t="shared" si="16"/>
        <v>8.5509870536332674E-3</v>
      </c>
      <c r="G275" s="1">
        <f t="shared" si="12"/>
        <v>1.9881044899697348E-2</v>
      </c>
      <c r="H275">
        <f t="shared" si="13"/>
        <v>1988.1044899697349</v>
      </c>
      <c r="I275">
        <f t="shared" si="14"/>
        <v>8891.0735718897522</v>
      </c>
    </row>
    <row r="276" spans="1:9" x14ac:dyDescent="0.45">
      <c r="A276">
        <v>-1.8675109458854422E-2</v>
      </c>
      <c r="B276">
        <f t="shared" si="17"/>
        <v>3.4875971330019389E-4</v>
      </c>
      <c r="E276">
        <f t="shared" si="15"/>
        <v>8.470894241794364E-5</v>
      </c>
      <c r="F276">
        <f t="shared" si="16"/>
        <v>9.2037461078597581E-3</v>
      </c>
      <c r="G276" s="1">
        <f t="shared" si="12"/>
        <v>2.1398709700773941E-2</v>
      </c>
      <c r="H276">
        <f t="shared" si="13"/>
        <v>2139.8709700773938</v>
      </c>
      <c r="I276">
        <f t="shared" si="14"/>
        <v>9569.7939043429433</v>
      </c>
    </row>
    <row r="277" spans="1:9" x14ac:dyDescent="0.45">
      <c r="A277">
        <v>5.9848503042303491E-3</v>
      </c>
      <c r="B277">
        <f t="shared" si="17"/>
        <v>3.5818433164046104E-5</v>
      </c>
      <c r="E277">
        <f t="shared" si="15"/>
        <v>9.7899783015826513E-5</v>
      </c>
      <c r="F277">
        <f t="shared" si="16"/>
        <v>9.8944319198136146E-3</v>
      </c>
      <c r="G277" s="1">
        <f t="shared" si="12"/>
        <v>2.3004554213566654E-2</v>
      </c>
      <c r="H277">
        <f t="shared" si="13"/>
        <v>2300.4554213566653</v>
      </c>
      <c r="I277">
        <f t="shared" si="14"/>
        <v>10287.94940272285</v>
      </c>
    </row>
    <row r="278" spans="1:9" x14ac:dyDescent="0.45">
      <c r="A278">
        <v>1.0243434189760592E-2</v>
      </c>
      <c r="B278">
        <f t="shared" si="17"/>
        <v>1.0492794399995623E-4</v>
      </c>
      <c r="E278">
        <f t="shared" si="15"/>
        <v>9.4795713780853016E-5</v>
      </c>
      <c r="F278">
        <f t="shared" si="16"/>
        <v>9.7363090430025393E-3</v>
      </c>
      <c r="G278" s="1">
        <f t="shared" si="12"/>
        <v>2.2636918524980905E-2</v>
      </c>
      <c r="H278">
        <f t="shared" si="13"/>
        <v>2263.6918524980906</v>
      </c>
      <c r="I278">
        <f t="shared" si="14"/>
        <v>10123.537724596315</v>
      </c>
    </row>
    <row r="279" spans="1:9" x14ac:dyDescent="0.45">
      <c r="A279">
        <v>7.034668669803068E-3</v>
      </c>
      <c r="B279">
        <f t="shared" si="17"/>
        <v>4.9486563293908866E-5</v>
      </c>
      <c r="E279">
        <f t="shared" si="15"/>
        <v>9.5300836976994126E-5</v>
      </c>
      <c r="F279">
        <f t="shared" si="16"/>
        <v>9.7622147577787963E-3</v>
      </c>
      <c r="G279" s="1">
        <f t="shared" si="12"/>
        <v>2.2697149311835703E-2</v>
      </c>
      <c r="H279">
        <f t="shared" si="13"/>
        <v>2269.7149311835701</v>
      </c>
      <c r="I279">
        <f t="shared" si="14"/>
        <v>10150.47375134544</v>
      </c>
    </row>
    <row r="280" spans="1:9" x14ac:dyDescent="0.45">
      <c r="A280">
        <v>-2.201359166065231E-2</v>
      </c>
      <c r="B280">
        <f t="shared" si="17"/>
        <v>4.8459821780194091E-4</v>
      </c>
      <c r="E280">
        <f t="shared" si="15"/>
        <v>9.3008503016348926E-5</v>
      </c>
      <c r="F280">
        <f t="shared" si="16"/>
        <v>9.6440916117770739E-3</v>
      </c>
      <c r="G280" s="1">
        <f t="shared" si="12"/>
        <v>2.24225129973817E-2</v>
      </c>
      <c r="H280">
        <f t="shared" si="13"/>
        <v>2242.25129973817</v>
      </c>
      <c r="I280">
        <f t="shared" si="14"/>
        <v>10027.652657703609</v>
      </c>
    </row>
    <row r="281" spans="1:9" x14ac:dyDescent="0.45">
      <c r="A281">
        <v>-5.0580297283886466E-3</v>
      </c>
      <c r="B281">
        <f t="shared" si="17"/>
        <v>2.5583664733263326E-5</v>
      </c>
      <c r="E281">
        <f t="shared" si="15"/>
        <v>1.1258795344010697E-4</v>
      </c>
      <c r="F281">
        <f t="shared" si="16"/>
        <v>1.0610747072666796E-2</v>
      </c>
      <c r="G281" s="1">
        <f t="shared" ref="G281:G344" si="18">F281*$H$1</f>
        <v>2.4669986943950305E-2</v>
      </c>
      <c r="H281">
        <f t="shared" ref="H281:H344" si="19">G281*$H$2</f>
        <v>2466.9986943950303</v>
      </c>
      <c r="I281">
        <f t="shared" ref="I281:I344" si="20">H281*SQRT($H$3)</f>
        <v>11032.753562141035</v>
      </c>
    </row>
    <row r="282" spans="1:9" x14ac:dyDescent="0.45">
      <c r="A282">
        <v>4.4405624066712335E-3</v>
      </c>
      <c r="B282">
        <f t="shared" si="17"/>
        <v>1.9718594487541819E-5</v>
      </c>
      <c r="E282">
        <f t="shared" ref="E282:E345" si="21">(1-$E$1)*SUMPRODUCT($D$2:$D$151,B132:B281)</f>
        <v>1.0823410395010216E-4</v>
      </c>
      <c r="F282">
        <f t="shared" ref="F282:F345" si="22">SQRT(E282)</f>
        <v>1.0403562079888896E-2</v>
      </c>
      <c r="G282" s="1">
        <f t="shared" si="18"/>
        <v>2.4188281835741683E-2</v>
      </c>
      <c r="H282">
        <f t="shared" si="19"/>
        <v>2418.8281835741682</v>
      </c>
      <c r="I282">
        <f t="shared" si="20"/>
        <v>10817.328488728361</v>
      </c>
    </row>
    <row r="283" spans="1:9" x14ac:dyDescent="0.45">
      <c r="A283">
        <v>-1.2418263395375106E-2</v>
      </c>
      <c r="B283">
        <f t="shared" si="17"/>
        <v>1.5421326575691327E-4</v>
      </c>
      <c r="E283">
        <f t="shared" si="21"/>
        <v>1.0380698661280307E-4</v>
      </c>
      <c r="F283">
        <f t="shared" si="22"/>
        <v>1.0188571372513571E-2</v>
      </c>
      <c r="G283" s="1">
        <f t="shared" si="18"/>
        <v>2.3688428441094055E-2</v>
      </c>
      <c r="H283">
        <f t="shared" si="19"/>
        <v>2368.8428441094056</v>
      </c>
      <c r="I283">
        <f t="shared" si="20"/>
        <v>10593.787254885137</v>
      </c>
    </row>
    <row r="284" spans="1:9" x14ac:dyDescent="0.45">
      <c r="A284">
        <v>1.4784518498345278E-2</v>
      </c>
      <c r="B284">
        <f t="shared" si="17"/>
        <v>2.1858198722791373E-4</v>
      </c>
      <c r="E284">
        <f t="shared" si="21"/>
        <v>1.0632633039793343E-4</v>
      </c>
      <c r="F284">
        <f t="shared" si="22"/>
        <v>1.0311465967452612E-2</v>
      </c>
      <c r="G284" s="1">
        <f t="shared" si="18"/>
        <v>2.3974158374327325E-2</v>
      </c>
      <c r="H284">
        <f t="shared" si="19"/>
        <v>2397.4158374327326</v>
      </c>
      <c r="I284">
        <f t="shared" si="20"/>
        <v>10721.569565668351</v>
      </c>
    </row>
    <row r="285" spans="1:9" x14ac:dyDescent="0.45">
      <c r="A285">
        <v>-2.4386281438637525E-3</v>
      </c>
      <c r="B285">
        <f t="shared" si="17"/>
        <v>5.9469072240443707E-6</v>
      </c>
      <c r="E285">
        <f t="shared" si="21"/>
        <v>1.1193889647999345E-4</v>
      </c>
      <c r="F285">
        <f t="shared" si="22"/>
        <v>1.0580117980438283E-2</v>
      </c>
      <c r="G285" s="1">
        <f t="shared" si="18"/>
        <v>2.4598774304519008E-2</v>
      </c>
      <c r="H285">
        <f t="shared" si="19"/>
        <v>2459.8774304519006</v>
      </c>
      <c r="I285">
        <f t="shared" si="20"/>
        <v>11000.906301615923</v>
      </c>
    </row>
    <row r="286" spans="1:9" x14ac:dyDescent="0.45">
      <c r="A286">
        <v>3.9782889871275984E-3</v>
      </c>
      <c r="B286">
        <f t="shared" si="17"/>
        <v>1.5826783265100732E-5</v>
      </c>
      <c r="E286">
        <f t="shared" si="21"/>
        <v>1.0663872027013689E-4</v>
      </c>
      <c r="F286">
        <f t="shared" si="22"/>
        <v>1.0326602552153195E-2</v>
      </c>
      <c r="G286" s="1">
        <f t="shared" si="18"/>
        <v>2.4009350933756182E-2</v>
      </c>
      <c r="H286">
        <f t="shared" si="19"/>
        <v>2400.9350933756182</v>
      </c>
      <c r="I286">
        <f t="shared" si="20"/>
        <v>10737.308156705376</v>
      </c>
    </row>
    <row r="287" spans="1:9" x14ac:dyDescent="0.45">
      <c r="A287">
        <v>1.2285386219446082E-2</v>
      </c>
      <c r="B287">
        <f t="shared" si="17"/>
        <v>1.509307145609557E-4</v>
      </c>
      <c r="E287">
        <f t="shared" si="21"/>
        <v>1.0209701928688263E-4</v>
      </c>
      <c r="F287">
        <f t="shared" si="22"/>
        <v>1.0104306967174079E-2</v>
      </c>
      <c r="G287" s="1">
        <f t="shared" si="18"/>
        <v>2.3492513698679735E-2</v>
      </c>
      <c r="H287">
        <f t="shared" si="19"/>
        <v>2349.2513698679736</v>
      </c>
      <c r="I287">
        <f t="shared" si="20"/>
        <v>10506.17151851858</v>
      </c>
    </row>
    <row r="288" spans="1:9" x14ac:dyDescent="0.45">
      <c r="A288">
        <v>5.6218141253339127E-3</v>
      </c>
      <c r="B288">
        <f t="shared" si="17"/>
        <v>3.1604794059803904E-5</v>
      </c>
      <c r="E288">
        <f t="shared" si="21"/>
        <v>1.0453428841277932E-4</v>
      </c>
      <c r="F288">
        <f t="shared" si="22"/>
        <v>1.0224201113670414E-2</v>
      </c>
      <c r="G288" s="1">
        <f t="shared" si="18"/>
        <v>2.3771267589283714E-2</v>
      </c>
      <c r="H288">
        <f t="shared" si="19"/>
        <v>2377.1267589283716</v>
      </c>
      <c r="I288">
        <f t="shared" si="20"/>
        <v>10630.834048195189</v>
      </c>
    </row>
    <row r="289" spans="1:9" x14ac:dyDescent="0.45">
      <c r="A289">
        <v>4.3588102016656194E-3</v>
      </c>
      <c r="B289">
        <f t="shared" si="17"/>
        <v>1.8999226374144279E-5</v>
      </c>
      <c r="E289">
        <f t="shared" si="21"/>
        <v>1.0088720331164207E-4</v>
      </c>
      <c r="F289">
        <f t="shared" si="22"/>
        <v>1.004426220842736E-2</v>
      </c>
      <c r="G289" s="1">
        <f t="shared" si="18"/>
        <v>2.3352909634593615E-2</v>
      </c>
      <c r="H289">
        <f t="shared" si="19"/>
        <v>2335.2909634593616</v>
      </c>
      <c r="I289">
        <f t="shared" si="20"/>
        <v>10443.738683072221</v>
      </c>
    </row>
    <row r="290" spans="1:9" x14ac:dyDescent="0.45">
      <c r="A290">
        <v>2.4161272449418902E-2</v>
      </c>
      <c r="B290">
        <f t="shared" si="17"/>
        <v>5.8376708637504883E-4</v>
      </c>
      <c r="E290">
        <f t="shared" si="21"/>
        <v>9.6791817584886405E-5</v>
      </c>
      <c r="F290">
        <f t="shared" si="22"/>
        <v>9.8382832641109898E-3</v>
      </c>
      <c r="G290" s="1">
        <f t="shared" si="18"/>
        <v>2.2874008589058054E-2</v>
      </c>
      <c r="H290">
        <f t="shared" si="19"/>
        <v>2287.4008589058053</v>
      </c>
      <c r="I290">
        <f t="shared" si="20"/>
        <v>10229.567624609572</v>
      </c>
    </row>
    <row r="291" spans="1:9" x14ac:dyDescent="0.45">
      <c r="A291">
        <v>1.744172095641261E-3</v>
      </c>
      <c r="B291">
        <f t="shared" si="17"/>
        <v>3.0421362992136282E-6</v>
      </c>
      <c r="E291">
        <f t="shared" si="21"/>
        <v>1.2114054675093375E-4</v>
      </c>
      <c r="F291">
        <f t="shared" si="22"/>
        <v>1.1006386634628721E-2</v>
      </c>
      <c r="G291" s="1">
        <f t="shared" si="18"/>
        <v>2.5589848925511777E-2</v>
      </c>
      <c r="H291">
        <f t="shared" si="19"/>
        <v>2558.9848925511778</v>
      </c>
      <c r="I291">
        <f t="shared" si="20"/>
        <v>11444.128346278858</v>
      </c>
    </row>
    <row r="292" spans="1:9" x14ac:dyDescent="0.45">
      <c r="A292">
        <v>-4.1711359699547756E-3</v>
      </c>
      <c r="B292">
        <f t="shared" si="17"/>
        <v>1.7398375279850566E-5</v>
      </c>
      <c r="E292">
        <f t="shared" si="21"/>
        <v>1.1523132847088958E-4</v>
      </c>
      <c r="F292">
        <f t="shared" si="22"/>
        <v>1.0734585621759676E-2</v>
      </c>
      <c r="G292" s="1">
        <f t="shared" si="18"/>
        <v>2.4957911570591251E-2</v>
      </c>
      <c r="H292">
        <f t="shared" si="19"/>
        <v>2495.791157059125</v>
      </c>
      <c r="I292">
        <f t="shared" si="20"/>
        <v>11161.517369654115</v>
      </c>
    </row>
    <row r="293" spans="1:9" x14ac:dyDescent="0.45">
      <c r="A293">
        <v>2.481999672454549E-3</v>
      </c>
      <c r="B293">
        <f t="shared" si="17"/>
        <v>6.1603223740644882E-6</v>
      </c>
      <c r="E293">
        <f t="shared" si="21"/>
        <v>1.1033694054259953E-4</v>
      </c>
      <c r="F293">
        <f t="shared" si="22"/>
        <v>1.0504139209978109E-2</v>
      </c>
      <c r="G293" s="1">
        <f t="shared" si="18"/>
        <v>2.4422123663199104E-2</v>
      </c>
      <c r="H293">
        <f t="shared" si="19"/>
        <v>2442.2123663199104</v>
      </c>
      <c r="I293">
        <f t="shared" si="20"/>
        <v>10921.905733163876</v>
      </c>
    </row>
    <row r="294" spans="1:9" x14ac:dyDescent="0.45">
      <c r="A294">
        <v>-2.1582195586233865E-3</v>
      </c>
      <c r="B294">
        <f t="shared" si="17"/>
        <v>4.6579116632245251E-6</v>
      </c>
      <c r="E294">
        <f t="shared" si="21"/>
        <v>1.0512151357941615E-4</v>
      </c>
      <c r="F294">
        <f t="shared" si="22"/>
        <v>1.0252878307061689E-2</v>
      </c>
      <c r="G294" s="1">
        <f t="shared" si="18"/>
        <v>2.3837942063918427E-2</v>
      </c>
      <c r="H294">
        <f t="shared" si="19"/>
        <v>2383.7942063918426</v>
      </c>
      <c r="I294">
        <f t="shared" si="20"/>
        <v>10660.651779724649</v>
      </c>
    </row>
    <row r="295" spans="1:9" x14ac:dyDescent="0.45">
      <c r="A295">
        <v>8.0230620369547978E-3</v>
      </c>
      <c r="B295">
        <f t="shared" si="17"/>
        <v>6.4369524448825276E-5</v>
      </c>
      <c r="E295">
        <f t="shared" si="21"/>
        <v>1.0009833263360411E-4</v>
      </c>
      <c r="F295">
        <f t="shared" si="22"/>
        <v>1.0004915423610742E-2</v>
      </c>
      <c r="G295" s="1">
        <f t="shared" si="18"/>
        <v>2.3261428359894976E-2</v>
      </c>
      <c r="H295">
        <f t="shared" si="19"/>
        <v>2326.1428359894976</v>
      </c>
      <c r="I295">
        <f t="shared" si="20"/>
        <v>10402.827013293323</v>
      </c>
    </row>
    <row r="296" spans="1:9" x14ac:dyDescent="0.45">
      <c r="A296">
        <v>1.0884969015023671E-2</v>
      </c>
      <c r="B296">
        <f t="shared" si="17"/>
        <v>1.1848255045802539E-4</v>
      </c>
      <c r="E296">
        <f t="shared" si="21"/>
        <v>9.8311553684510907E-5</v>
      </c>
      <c r="F296">
        <f t="shared" si="22"/>
        <v>9.9152182872850013E-3</v>
      </c>
      <c r="G296" s="1">
        <f t="shared" si="18"/>
        <v>2.3052882517937631E-2</v>
      </c>
      <c r="H296">
        <f t="shared" si="19"/>
        <v>2305.2882517937633</v>
      </c>
      <c r="I296">
        <f t="shared" si="20"/>
        <v>10309.562477485013</v>
      </c>
    </row>
    <row r="297" spans="1:9" x14ac:dyDescent="0.45">
      <c r="A297">
        <v>1.3392764230957255E-3</v>
      </c>
      <c r="B297">
        <f t="shared" si="17"/>
        <v>1.7936613374600807E-6</v>
      </c>
      <c r="E297">
        <f t="shared" si="21"/>
        <v>9.9319003093875134E-5</v>
      </c>
      <c r="F297">
        <f t="shared" si="22"/>
        <v>9.9658919868657585E-3</v>
      </c>
      <c r="G297" s="1">
        <f t="shared" si="18"/>
        <v>2.3170698869462891E-2</v>
      </c>
      <c r="H297">
        <f t="shared" si="19"/>
        <v>2317.069886946289</v>
      </c>
      <c r="I297">
        <f t="shared" si="20"/>
        <v>10362.25155165931</v>
      </c>
    </row>
    <row r="298" spans="1:9" x14ac:dyDescent="0.45">
      <c r="A298">
        <v>6.8923327489756048E-3</v>
      </c>
      <c r="B298">
        <f t="shared" si="17"/>
        <v>4.7504250722601614E-5</v>
      </c>
      <c r="E298">
        <f t="shared" si="21"/>
        <v>9.4442702715861223E-5</v>
      </c>
      <c r="F298">
        <f t="shared" si="22"/>
        <v>9.7181635464660306E-3</v>
      </c>
      <c r="G298" s="1">
        <f t="shared" si="18"/>
        <v>2.2594730245533524E-2</v>
      </c>
      <c r="H298">
        <f t="shared" si="19"/>
        <v>2259.4730245533524</v>
      </c>
      <c r="I298">
        <f t="shared" si="20"/>
        <v>10104.670552456695</v>
      </c>
    </row>
    <row r="299" spans="1:9" x14ac:dyDescent="0.45">
      <c r="A299">
        <v>8.4592329585575499E-3</v>
      </c>
      <c r="B299">
        <f t="shared" si="17"/>
        <v>7.1558622247146314E-5</v>
      </c>
      <c r="E299">
        <f t="shared" si="21"/>
        <v>9.2094294922816518E-5</v>
      </c>
      <c r="F299">
        <f t="shared" si="22"/>
        <v>9.5965772503959195E-3</v>
      </c>
      <c r="G299" s="1">
        <f t="shared" si="18"/>
        <v>2.2312042107170516E-2</v>
      </c>
      <c r="H299">
        <f t="shared" si="19"/>
        <v>2231.2042107170514</v>
      </c>
      <c r="I299">
        <f t="shared" si="20"/>
        <v>9978.2485736941835</v>
      </c>
    </row>
    <row r="300" spans="1:9" x14ac:dyDescent="0.45">
      <c r="A300">
        <v>7.5751017902803142E-3</v>
      </c>
      <c r="B300">
        <f t="shared" si="17"/>
        <v>5.738216713310802E-5</v>
      </c>
      <c r="E300">
        <f t="shared" si="21"/>
        <v>9.1064776595778862E-5</v>
      </c>
      <c r="F300">
        <f t="shared" si="22"/>
        <v>9.5427866263360864E-3</v>
      </c>
      <c r="G300" s="1">
        <f t="shared" si="18"/>
        <v>2.2186978906231402E-2</v>
      </c>
      <c r="H300">
        <f t="shared" si="19"/>
        <v>2218.6978906231402</v>
      </c>
      <c r="I300">
        <f t="shared" si="20"/>
        <v>9922.3186099374707</v>
      </c>
    </row>
    <row r="301" spans="1:9" x14ac:dyDescent="0.45">
      <c r="A301">
        <v>8.865583822625922E-3</v>
      </c>
      <c r="B301">
        <f t="shared" si="17"/>
        <v>7.8598576516006452E-5</v>
      </c>
      <c r="E301">
        <f t="shared" si="21"/>
        <v>8.9379131848644577E-5</v>
      </c>
      <c r="F301">
        <f t="shared" si="22"/>
        <v>9.4540537257117689E-3</v>
      </c>
      <c r="G301" s="1">
        <f t="shared" si="18"/>
        <v>2.1980674912279865E-2</v>
      </c>
      <c r="H301">
        <f t="shared" si="19"/>
        <v>2198.0674912279865</v>
      </c>
      <c r="I301">
        <f t="shared" si="20"/>
        <v>9830.0566590364015</v>
      </c>
    </row>
    <row r="302" spans="1:9" x14ac:dyDescent="0.45">
      <c r="A302">
        <v>-2.1370851754909381E-3</v>
      </c>
      <c r="B302">
        <f t="shared" si="17"/>
        <v>4.5671330473031336E-6</v>
      </c>
      <c r="E302">
        <f t="shared" si="21"/>
        <v>8.8840005316194218E-5</v>
      </c>
      <c r="F302">
        <f t="shared" si="22"/>
        <v>9.4254976163698767E-3</v>
      </c>
      <c r="G302" s="1">
        <f t="shared" si="18"/>
        <v>2.1914281958059965E-2</v>
      </c>
      <c r="H302">
        <f t="shared" si="19"/>
        <v>2191.4281958059964</v>
      </c>
      <c r="I302">
        <f t="shared" si="20"/>
        <v>9800.3648272638547</v>
      </c>
    </row>
    <row r="303" spans="1:9" x14ac:dyDescent="0.45">
      <c r="A303">
        <v>-8.8939486886374652E-3</v>
      </c>
      <c r="B303">
        <f t="shared" si="17"/>
        <v>7.9102323276116084E-5</v>
      </c>
      <c r="E303">
        <f t="shared" si="21"/>
        <v>8.4625134633770506E-5</v>
      </c>
      <c r="F303">
        <f t="shared" si="22"/>
        <v>9.1991920641853377E-3</v>
      </c>
      <c r="G303" s="1">
        <f t="shared" si="18"/>
        <v>2.138812154923091E-2</v>
      </c>
      <c r="H303">
        <f t="shared" si="19"/>
        <v>2138.8121549230909</v>
      </c>
      <c r="I303">
        <f t="shared" si="20"/>
        <v>9565.0587390216861</v>
      </c>
    </row>
    <row r="304" spans="1:9" x14ac:dyDescent="0.45">
      <c r="A304">
        <v>-7.6228161560720764E-4</v>
      </c>
      <c r="B304">
        <f t="shared" si="17"/>
        <v>5.8107326149273465E-7</v>
      </c>
      <c r="E304">
        <f t="shared" si="21"/>
        <v>8.434894945289189E-5</v>
      </c>
      <c r="F304">
        <f t="shared" si="22"/>
        <v>9.1841684137918492E-3</v>
      </c>
      <c r="G304" s="1">
        <f t="shared" si="18"/>
        <v>2.135319156206605E-2</v>
      </c>
      <c r="H304">
        <f t="shared" si="19"/>
        <v>2135.3191562066049</v>
      </c>
      <c r="I304">
        <f t="shared" si="20"/>
        <v>9549.4375738709223</v>
      </c>
    </row>
    <row r="305" spans="1:9" x14ac:dyDescent="0.45">
      <c r="A305">
        <v>-4.9133745960716624E-3</v>
      </c>
      <c r="B305">
        <f t="shared" si="17"/>
        <v>2.4141249921322371E-5</v>
      </c>
      <c r="E305">
        <f t="shared" si="21"/>
        <v>8.0158612364366653E-5</v>
      </c>
      <c r="F305">
        <f t="shared" si="22"/>
        <v>8.9531342201693061E-3</v>
      </c>
      <c r="G305" s="1">
        <f t="shared" si="18"/>
        <v>2.0816037061893639E-2</v>
      </c>
      <c r="H305">
        <f t="shared" si="19"/>
        <v>2081.6037061893639</v>
      </c>
      <c r="I305">
        <f t="shared" si="20"/>
        <v>9309.214778509835</v>
      </c>
    </row>
    <row r="306" spans="1:9" x14ac:dyDescent="0.45">
      <c r="A306">
        <v>7.3748196882661432E-3</v>
      </c>
      <c r="B306">
        <f t="shared" si="17"/>
        <v>5.4387965434437933E-5</v>
      </c>
      <c r="E306">
        <f t="shared" si="21"/>
        <v>7.7357414178293182E-5</v>
      </c>
      <c r="F306">
        <f t="shared" si="22"/>
        <v>8.7953063720539702E-3</v>
      </c>
      <c r="G306" s="1">
        <f t="shared" si="18"/>
        <v>2.0449087315025483E-2</v>
      </c>
      <c r="H306">
        <f t="shared" si="19"/>
        <v>2044.9087315025483</v>
      </c>
      <c r="I306">
        <f t="shared" si="20"/>
        <v>9145.1098628451273</v>
      </c>
    </row>
    <row r="307" spans="1:9" x14ac:dyDescent="0.45">
      <c r="A307">
        <v>7.7639924711547792E-3</v>
      </c>
      <c r="B307">
        <f t="shared" si="17"/>
        <v>6.0279579092148091E-5</v>
      </c>
      <c r="E307">
        <f t="shared" si="21"/>
        <v>7.6208045469846421E-5</v>
      </c>
      <c r="F307">
        <f t="shared" si="22"/>
        <v>8.7297219583355821E-3</v>
      </c>
      <c r="G307" s="1">
        <f t="shared" si="18"/>
        <v>2.0296603553130229E-2</v>
      </c>
      <c r="H307">
        <f t="shared" si="19"/>
        <v>2029.6603553130228</v>
      </c>
      <c r="I307">
        <f t="shared" si="20"/>
        <v>9076.9170514325906</v>
      </c>
    </row>
    <row r="308" spans="1:9" x14ac:dyDescent="0.45">
      <c r="A308">
        <v>-1.4247120816435199E-2</v>
      </c>
      <c r="B308">
        <f t="shared" si="17"/>
        <v>2.0298045155810117E-4</v>
      </c>
      <c r="E308">
        <f t="shared" si="21"/>
        <v>7.5410910949971446E-5</v>
      </c>
      <c r="F308">
        <f t="shared" si="22"/>
        <v>8.6839455865390727E-3</v>
      </c>
      <c r="G308" s="1">
        <f t="shared" si="18"/>
        <v>2.0190173488703344E-2</v>
      </c>
      <c r="H308">
        <f t="shared" si="19"/>
        <v>2019.0173488703344</v>
      </c>
      <c r="I308">
        <f t="shared" si="20"/>
        <v>9029.3200796509518</v>
      </c>
    </row>
    <row r="309" spans="1:9" x14ac:dyDescent="0.45">
      <c r="A309">
        <v>-7.2717966759228148E-3</v>
      </c>
      <c r="B309">
        <f t="shared" si="17"/>
        <v>5.2879026895962101E-5</v>
      </c>
      <c r="E309">
        <f t="shared" si="21"/>
        <v>8.1788131509294011E-5</v>
      </c>
      <c r="F309">
        <f t="shared" si="22"/>
        <v>9.0436790914590736E-3</v>
      </c>
      <c r="G309" s="1">
        <f t="shared" si="18"/>
        <v>2.1026553887642348E-2</v>
      </c>
      <c r="H309">
        <f t="shared" si="19"/>
        <v>2102.6553887642349</v>
      </c>
      <c r="I309">
        <f t="shared" si="20"/>
        <v>9403.3607650661543</v>
      </c>
    </row>
    <row r="310" spans="1:9" x14ac:dyDescent="0.45">
      <c r="A310">
        <v>-2.0105380826862529E-2</v>
      </c>
      <c r="B310">
        <f t="shared" si="17"/>
        <v>4.0422633819317137E-4</v>
      </c>
      <c r="E310">
        <f t="shared" si="21"/>
        <v>8.0342379438519569E-5</v>
      </c>
      <c r="F310">
        <f t="shared" si="22"/>
        <v>8.9633910680344403E-3</v>
      </c>
      <c r="G310" s="1">
        <f t="shared" si="18"/>
        <v>2.0839884233180075E-2</v>
      </c>
      <c r="H310">
        <f t="shared" si="19"/>
        <v>2083.9884233180073</v>
      </c>
      <c r="I310">
        <f t="shared" si="20"/>
        <v>9319.879557723345</v>
      </c>
    </row>
    <row r="311" spans="1:9" x14ac:dyDescent="0.45">
      <c r="A311">
        <v>-7.9966866906033829E-3</v>
      </c>
      <c r="B311">
        <f t="shared" si="17"/>
        <v>6.3946998027673282E-5</v>
      </c>
      <c r="E311">
        <f t="shared" si="21"/>
        <v>9.6536134355093008E-5</v>
      </c>
      <c r="F311">
        <f t="shared" si="22"/>
        <v>9.8252803703046052E-3</v>
      </c>
      <c r="G311" s="1">
        <f t="shared" si="18"/>
        <v>2.2843776860958207E-2</v>
      </c>
      <c r="H311">
        <f t="shared" si="19"/>
        <v>2284.3776860958205</v>
      </c>
      <c r="I311">
        <f t="shared" si="20"/>
        <v>10216.047584787862</v>
      </c>
    </row>
    <row r="312" spans="1:9" x14ac:dyDescent="0.45">
      <c r="A312">
        <v>-3.3014657674357295E-4</v>
      </c>
      <c r="B312">
        <f t="shared" si="17"/>
        <v>1.089967621354999E-7</v>
      </c>
      <c r="E312">
        <f t="shared" si="21"/>
        <v>9.4903146141333826E-5</v>
      </c>
      <c r="F312">
        <f t="shared" si="22"/>
        <v>9.741824579683922E-3</v>
      </c>
      <c r="G312" s="1">
        <f t="shared" si="18"/>
        <v>2.264974214776512E-2</v>
      </c>
      <c r="H312">
        <f t="shared" si="19"/>
        <v>2264.9742147765119</v>
      </c>
      <c r="I312">
        <f t="shared" si="20"/>
        <v>10129.272623048979</v>
      </c>
    </row>
    <row r="313" spans="1:9" x14ac:dyDescent="0.45">
      <c r="A313">
        <v>-1.3033650247962214E-2</v>
      </c>
      <c r="B313">
        <f t="shared" si="17"/>
        <v>1.6987603878620549E-4</v>
      </c>
      <c r="E313">
        <f t="shared" si="21"/>
        <v>9.0163419728236688E-5</v>
      </c>
      <c r="F313">
        <f t="shared" si="22"/>
        <v>9.4954420501752682E-3</v>
      </c>
      <c r="G313" s="1">
        <f t="shared" si="18"/>
        <v>2.20769027666575E-2</v>
      </c>
      <c r="H313">
        <f t="shared" si="19"/>
        <v>2207.6902766657499</v>
      </c>
      <c r="I313">
        <f t="shared" si="20"/>
        <v>9873.0910637798697</v>
      </c>
    </row>
    <row r="314" spans="1:9" x14ac:dyDescent="0.45">
      <c r="A314">
        <v>1.6874992070370354E-3</v>
      </c>
      <c r="B314">
        <f t="shared" si="17"/>
        <v>2.8476535737506231E-6</v>
      </c>
      <c r="E314">
        <f t="shared" si="21"/>
        <v>9.4148915223976704E-5</v>
      </c>
      <c r="F314">
        <f t="shared" si="22"/>
        <v>9.7030363919742516E-3</v>
      </c>
      <c r="G314" s="1">
        <f t="shared" si="18"/>
        <v>2.2559559611340138E-2</v>
      </c>
      <c r="H314">
        <f t="shared" si="19"/>
        <v>2255.9559611340137</v>
      </c>
      <c r="I314">
        <f t="shared" si="20"/>
        <v>10088.941766683058</v>
      </c>
    </row>
    <row r="315" spans="1:9" x14ac:dyDescent="0.45">
      <c r="A315">
        <v>1.6910689737414941E-2</v>
      </c>
      <c r="B315">
        <f t="shared" si="17"/>
        <v>2.8597142739511099E-4</v>
      </c>
      <c r="E315">
        <f t="shared" si="21"/>
        <v>8.957519346891867E-5</v>
      </c>
      <c r="F315">
        <f t="shared" si="22"/>
        <v>9.4644172281719841E-3</v>
      </c>
      <c r="G315" s="1">
        <f t="shared" si="18"/>
        <v>2.2004770055499865E-2</v>
      </c>
      <c r="H315">
        <f t="shared" si="19"/>
        <v>2200.4770055499866</v>
      </c>
      <c r="I315">
        <f t="shared" si="20"/>
        <v>9840.8323346699053</v>
      </c>
    </row>
    <row r="316" spans="1:9" x14ac:dyDescent="0.45">
      <c r="A316">
        <v>8.48442596179666E-3</v>
      </c>
      <c r="B316">
        <f t="shared" si="17"/>
        <v>7.1985483901209179E-5</v>
      </c>
      <c r="E316">
        <f t="shared" si="21"/>
        <v>9.9392593939180295E-5</v>
      </c>
      <c r="F316">
        <f t="shared" si="22"/>
        <v>9.9695834385986407E-3</v>
      </c>
      <c r="G316" s="1">
        <f t="shared" si="18"/>
        <v>2.3179281494741841E-2</v>
      </c>
      <c r="H316">
        <f t="shared" si="19"/>
        <v>2317.928149474184</v>
      </c>
      <c r="I316">
        <f t="shared" si="20"/>
        <v>10366.089818369139</v>
      </c>
    </row>
    <row r="317" spans="1:9" x14ac:dyDescent="0.45">
      <c r="A317">
        <v>2.0270363165764138E-5</v>
      </c>
      <c r="B317">
        <f t="shared" si="17"/>
        <v>4.1088762287196753E-10</v>
      </c>
      <c r="E317">
        <f t="shared" si="21"/>
        <v>9.802186993352672E-5</v>
      </c>
      <c r="F317">
        <f t="shared" si="22"/>
        <v>9.9005994734423387E-3</v>
      </c>
      <c r="G317" s="1">
        <f t="shared" si="18"/>
        <v>2.3018893775753439E-2</v>
      </c>
      <c r="H317">
        <f t="shared" si="19"/>
        <v>2301.889377575344</v>
      </c>
      <c r="I317">
        <f t="shared" si="20"/>
        <v>10294.362249886299</v>
      </c>
    </row>
    <row r="318" spans="1:9" x14ac:dyDescent="0.45">
      <c r="A318">
        <v>-3.3612423067097552E-3</v>
      </c>
      <c r="B318">
        <f t="shared" si="17"/>
        <v>1.1297949844415517E-5</v>
      </c>
      <c r="E318">
        <f t="shared" si="21"/>
        <v>9.3116420742291086E-5</v>
      </c>
      <c r="F318">
        <f t="shared" si="22"/>
        <v>9.649685007412992E-3</v>
      </c>
      <c r="G318" s="1">
        <f t="shared" si="18"/>
        <v>2.2435517642235208E-2</v>
      </c>
      <c r="H318">
        <f t="shared" si="19"/>
        <v>2243.5517642235209</v>
      </c>
      <c r="I318">
        <f t="shared" si="20"/>
        <v>10033.468511686748</v>
      </c>
    </row>
    <row r="319" spans="1:9" x14ac:dyDescent="0.45">
      <c r="A319">
        <v>-4.9142272473545745E-3</v>
      </c>
      <c r="B319">
        <f t="shared" si="17"/>
        <v>2.414962943864212E-5</v>
      </c>
      <c r="E319">
        <f t="shared" si="21"/>
        <v>8.9025075872009449E-5</v>
      </c>
      <c r="F319">
        <f t="shared" si="22"/>
        <v>9.4353100570150547E-3</v>
      </c>
      <c r="G319" s="1">
        <f t="shared" si="18"/>
        <v>2.1937095882560004E-2</v>
      </c>
      <c r="H319">
        <f t="shared" si="19"/>
        <v>2193.7095882560006</v>
      </c>
      <c r="I319">
        <f t="shared" si="20"/>
        <v>9810.5675244669837</v>
      </c>
    </row>
    <row r="320" spans="1:9" x14ac:dyDescent="0.45">
      <c r="A320">
        <v>-1.9189155864296481E-2</v>
      </c>
      <c r="B320">
        <f t="shared" si="17"/>
        <v>3.6822370278426404E-4</v>
      </c>
      <c r="E320">
        <f t="shared" si="21"/>
        <v>8.5780187623767768E-5</v>
      </c>
      <c r="F320">
        <f t="shared" si="22"/>
        <v>9.2617594237686708E-3</v>
      </c>
      <c r="G320" s="1">
        <f t="shared" si="18"/>
        <v>2.1533590660262163E-2</v>
      </c>
      <c r="H320">
        <f t="shared" si="19"/>
        <v>2153.3590660262162</v>
      </c>
      <c r="I320">
        <f t="shared" si="20"/>
        <v>9630.114503200155</v>
      </c>
    </row>
    <row r="321" spans="1:9" x14ac:dyDescent="0.45">
      <c r="A321">
        <v>-8.6378349806182086E-3</v>
      </c>
      <c r="B321">
        <f t="shared" si="17"/>
        <v>7.4612193152391566E-5</v>
      </c>
      <c r="E321">
        <f t="shared" si="21"/>
        <v>9.990157196504029E-5</v>
      </c>
      <c r="F321">
        <f t="shared" si="22"/>
        <v>9.9950773866459026E-3</v>
      </c>
      <c r="G321" s="1">
        <f t="shared" si="18"/>
        <v>2.3238554923951726E-2</v>
      </c>
      <c r="H321">
        <f t="shared" si="19"/>
        <v>2323.8554923951724</v>
      </c>
      <c r="I321">
        <f t="shared" si="20"/>
        <v>10392.597701763703</v>
      </c>
    </row>
    <row r="322" spans="1:9" x14ac:dyDescent="0.45">
      <c r="A322">
        <v>-2.5301574169134255E-3</v>
      </c>
      <c r="B322">
        <f t="shared" si="17"/>
        <v>6.4016965543620177E-6</v>
      </c>
      <c r="E322">
        <f t="shared" si="21"/>
        <v>9.863483576795932E-5</v>
      </c>
      <c r="F322">
        <f t="shared" si="22"/>
        <v>9.9315072253892724E-3</v>
      </c>
      <c r="G322" s="1">
        <f t="shared" si="18"/>
        <v>2.3090754299030059E-2</v>
      </c>
      <c r="H322">
        <f t="shared" si="19"/>
        <v>2309.0754299030059</v>
      </c>
      <c r="I322">
        <f t="shared" si="20"/>
        <v>10326.499252875345</v>
      </c>
    </row>
    <row r="323" spans="1:9" x14ac:dyDescent="0.45">
      <c r="A323">
        <v>-7.6712467489414848E-3</v>
      </c>
      <c r="B323">
        <f t="shared" ref="B323:B386" si="23">A323^2</f>
        <v>5.88480266831453E-5</v>
      </c>
      <c r="E323">
        <f t="shared" si="21"/>
        <v>9.4021964076499161E-5</v>
      </c>
      <c r="F323">
        <f t="shared" si="22"/>
        <v>9.6964923594307622E-3</v>
      </c>
      <c r="G323" s="1">
        <f t="shared" si="18"/>
        <v>2.2544344735676524E-2</v>
      </c>
      <c r="H323">
        <f t="shared" si="19"/>
        <v>2254.4344735676523</v>
      </c>
      <c r="I323">
        <f t="shared" si="20"/>
        <v>10082.137467432447</v>
      </c>
    </row>
    <row r="324" spans="1:9" x14ac:dyDescent="0.45">
      <c r="A324">
        <v>-6.1762762015860062E-3</v>
      </c>
      <c r="B324">
        <f t="shared" si="23"/>
        <v>3.8146387718277667E-5</v>
      </c>
      <c r="E324">
        <f t="shared" si="21"/>
        <v>9.2262688064907058E-5</v>
      </c>
      <c r="F324">
        <f t="shared" si="22"/>
        <v>9.605346847714925E-3</v>
      </c>
      <c r="G324" s="1">
        <f t="shared" si="18"/>
        <v>2.2332431420937202E-2</v>
      </c>
      <c r="H324">
        <f t="shared" si="19"/>
        <v>2233.2431420937201</v>
      </c>
      <c r="I324">
        <f t="shared" si="20"/>
        <v>9987.3669520135609</v>
      </c>
    </row>
    <row r="325" spans="1:9" x14ac:dyDescent="0.45">
      <c r="A325">
        <v>2.5356825972266961E-3</v>
      </c>
      <c r="B325">
        <f t="shared" si="23"/>
        <v>6.4296862338783232E-6</v>
      </c>
      <c r="E325">
        <f t="shared" si="21"/>
        <v>8.9556565492960856E-5</v>
      </c>
      <c r="F325">
        <f t="shared" si="22"/>
        <v>9.4634330711936068E-3</v>
      </c>
      <c r="G325" s="1">
        <f t="shared" si="18"/>
        <v>2.2002481890525137E-2</v>
      </c>
      <c r="H325">
        <f t="shared" si="19"/>
        <v>2200.2481890525137</v>
      </c>
      <c r="I325">
        <f t="shared" si="20"/>
        <v>9839.8090361844588</v>
      </c>
    </row>
    <row r="326" spans="1:9" x14ac:dyDescent="0.45">
      <c r="A326">
        <v>4.4498392526293173E-3</v>
      </c>
      <c r="B326">
        <f t="shared" si="23"/>
        <v>1.9801069374240641E-5</v>
      </c>
      <c r="E326">
        <f t="shared" si="21"/>
        <v>8.540012621791843E-5</v>
      </c>
      <c r="F326">
        <f t="shared" si="22"/>
        <v>9.2412188707939619E-3</v>
      </c>
      <c r="G326" s="1">
        <f t="shared" si="18"/>
        <v>2.1485833874595964E-2</v>
      </c>
      <c r="H326">
        <f t="shared" si="19"/>
        <v>2148.5833874595965</v>
      </c>
      <c r="I326">
        <f t="shared" si="20"/>
        <v>9608.7570193728534</v>
      </c>
    </row>
    <row r="327" spans="1:9" x14ac:dyDescent="0.45">
      <c r="A327">
        <v>-5.1120082389388699E-3</v>
      </c>
      <c r="B327">
        <f t="shared" si="23"/>
        <v>2.6132628234978887E-5</v>
      </c>
      <c r="E327">
        <f t="shared" si="21"/>
        <v>8.2107612782132618E-5</v>
      </c>
      <c r="F327">
        <f t="shared" si="22"/>
        <v>9.0613251118218142E-3</v>
      </c>
      <c r="G327" s="1">
        <f t="shared" si="18"/>
        <v>2.1067580884985719E-2</v>
      </c>
      <c r="H327">
        <f t="shared" si="19"/>
        <v>2106.7580884985719</v>
      </c>
      <c r="I327">
        <f t="shared" si="20"/>
        <v>9421.7085960606491</v>
      </c>
    </row>
    <row r="328" spans="1:9" x14ac:dyDescent="0.45">
      <c r="A328">
        <v>-7.8199491326813586E-3</v>
      </c>
      <c r="B328">
        <f t="shared" si="23"/>
        <v>6.1151604437723937E-5</v>
      </c>
      <c r="E328">
        <f t="shared" si="21"/>
        <v>7.9306850585461253E-5</v>
      </c>
      <c r="F328">
        <f t="shared" si="22"/>
        <v>8.9054393819429957E-3</v>
      </c>
      <c r="G328" s="1">
        <f t="shared" si="18"/>
        <v>2.0705146563017467E-2</v>
      </c>
      <c r="H328">
        <f t="shared" si="19"/>
        <v>2070.5146563017465</v>
      </c>
      <c r="I328">
        <f t="shared" si="20"/>
        <v>9259.6230398006373</v>
      </c>
    </row>
    <row r="329" spans="1:9" x14ac:dyDescent="0.45">
      <c r="A329">
        <v>-4.4803982746088877E-4</v>
      </c>
      <c r="B329">
        <f t="shared" si="23"/>
        <v>2.0073968699118298E-7</v>
      </c>
      <c r="E329">
        <f t="shared" si="21"/>
        <v>7.839901730841652E-5</v>
      </c>
      <c r="F329">
        <f t="shared" si="22"/>
        <v>8.854321956446835E-3</v>
      </c>
      <c r="G329" s="1">
        <f t="shared" si="18"/>
        <v>2.0586298548738894E-2</v>
      </c>
      <c r="H329">
        <f t="shared" si="19"/>
        <v>2058.6298548738896</v>
      </c>
      <c r="I329">
        <f t="shared" si="20"/>
        <v>9206.4725920170877</v>
      </c>
    </row>
    <row r="330" spans="1:9" x14ac:dyDescent="0.45">
      <c r="A330">
        <v>1.1478141459519975E-2</v>
      </c>
      <c r="B330">
        <f t="shared" si="23"/>
        <v>1.3174773136475135E-4</v>
      </c>
      <c r="E330">
        <f t="shared" si="21"/>
        <v>7.4486130953205573E-5</v>
      </c>
      <c r="F330">
        <f t="shared" si="22"/>
        <v>8.6305348011120123E-3</v>
      </c>
      <c r="G330" s="1">
        <f t="shared" si="18"/>
        <v>2.0065993412585428E-2</v>
      </c>
      <c r="H330">
        <f t="shared" si="19"/>
        <v>2006.5993412585428</v>
      </c>
      <c r="I330">
        <f t="shared" si="20"/>
        <v>8973.7850613208011</v>
      </c>
    </row>
    <row r="331" spans="1:9" x14ac:dyDescent="0.45">
      <c r="A331">
        <v>-1.6364356270059943E-2</v>
      </c>
      <c r="B331">
        <f t="shared" si="23"/>
        <v>2.6779215613345018E-4</v>
      </c>
      <c r="E331">
        <f t="shared" si="21"/>
        <v>7.7349205920158401E-5</v>
      </c>
      <c r="F331">
        <f t="shared" si="22"/>
        <v>8.7948397324885009E-3</v>
      </c>
      <c r="G331" s="1">
        <f t="shared" si="18"/>
        <v>2.0448002378035766E-2</v>
      </c>
      <c r="H331">
        <f t="shared" si="19"/>
        <v>2044.8002378035765</v>
      </c>
      <c r="I331">
        <f t="shared" si="20"/>
        <v>9144.6246642730657</v>
      </c>
    </row>
    <row r="332" spans="1:9" x14ac:dyDescent="0.45">
      <c r="A332">
        <v>-7.9022584031918086E-3</v>
      </c>
      <c r="B332">
        <f t="shared" si="23"/>
        <v>6.2445687870815554E-5</v>
      </c>
      <c r="E332">
        <f t="shared" si="21"/>
        <v>8.6865715816030056E-5</v>
      </c>
      <c r="F332">
        <f t="shared" si="22"/>
        <v>9.3201778854284777E-3</v>
      </c>
      <c r="G332" s="1">
        <f t="shared" si="18"/>
        <v>2.1669413583621212E-2</v>
      </c>
      <c r="H332">
        <f t="shared" si="19"/>
        <v>2166.9413583621213</v>
      </c>
      <c r="I332">
        <f t="shared" si="20"/>
        <v>9690.8563611068712</v>
      </c>
    </row>
    <row r="333" spans="1:9" x14ac:dyDescent="0.45">
      <c r="A333">
        <v>1.1933457244595047E-2</v>
      </c>
      <c r="B333">
        <f t="shared" si="23"/>
        <v>1.4240740180857802E-4</v>
      </c>
      <c r="E333">
        <f t="shared" si="21"/>
        <v>8.5643503671075787E-5</v>
      </c>
      <c r="F333">
        <f t="shared" si="22"/>
        <v>9.2543775409843626E-3</v>
      </c>
      <c r="G333" s="1">
        <f t="shared" si="18"/>
        <v>2.1516427782788644E-2</v>
      </c>
      <c r="H333">
        <f t="shared" si="19"/>
        <v>2151.6427782788646</v>
      </c>
      <c r="I333">
        <f t="shared" si="20"/>
        <v>9622.4390310560993</v>
      </c>
    </row>
    <row r="334" spans="1:9" x14ac:dyDescent="0.45">
      <c r="A334">
        <v>-9.2894879344385117E-3</v>
      </c>
      <c r="B334">
        <f t="shared" si="23"/>
        <v>8.6294586084078686E-5</v>
      </c>
      <c r="E334">
        <f t="shared" si="21"/>
        <v>8.8480731216018988E-5</v>
      </c>
      <c r="F334">
        <f t="shared" si="22"/>
        <v>9.4064196810486281E-3</v>
      </c>
      <c r="G334" s="1">
        <f t="shared" si="18"/>
        <v>2.1869925758438061E-2</v>
      </c>
      <c r="H334">
        <f t="shared" si="19"/>
        <v>2186.9925758438062</v>
      </c>
      <c r="I334">
        <f t="shared" si="20"/>
        <v>9780.5281317482313</v>
      </c>
    </row>
    <row r="335" spans="1:9" x14ac:dyDescent="0.45">
      <c r="A335">
        <v>1.4327270037028939E-3</v>
      </c>
      <c r="B335">
        <f t="shared" si="23"/>
        <v>2.052706667139472E-6</v>
      </c>
      <c r="E335">
        <f t="shared" si="21"/>
        <v>8.837043736587695E-5</v>
      </c>
      <c r="F335">
        <f t="shared" si="22"/>
        <v>9.4005551626420956E-3</v>
      </c>
      <c r="G335" s="1">
        <f t="shared" si="18"/>
        <v>2.1856290753142875E-2</v>
      </c>
      <c r="H335">
        <f t="shared" si="19"/>
        <v>2185.6290753142875</v>
      </c>
      <c r="I335">
        <f t="shared" si="20"/>
        <v>9774.4303720055086</v>
      </c>
    </row>
    <row r="336" spans="1:9" x14ac:dyDescent="0.45">
      <c r="A336">
        <v>4.263108621671563E-3</v>
      </c>
      <c r="B336">
        <f t="shared" si="23"/>
        <v>1.8174095120170413E-5</v>
      </c>
      <c r="E336">
        <f t="shared" si="21"/>
        <v>8.405365296384371E-5</v>
      </c>
      <c r="F336">
        <f t="shared" si="22"/>
        <v>9.1680779318155728E-3</v>
      </c>
      <c r="G336" s="1">
        <f t="shared" si="18"/>
        <v>2.1315781191471209E-2</v>
      </c>
      <c r="H336">
        <f t="shared" si="19"/>
        <v>2131.578119147121</v>
      </c>
      <c r="I336">
        <f t="shared" si="20"/>
        <v>9532.7071475282173</v>
      </c>
    </row>
    <row r="337" spans="1:9" x14ac:dyDescent="0.45">
      <c r="A337">
        <v>-2.2712265490554273E-2</v>
      </c>
      <c r="B337">
        <f t="shared" si="23"/>
        <v>5.1584700371342252E-4</v>
      </c>
      <c r="E337">
        <f t="shared" si="21"/>
        <v>8.0754993559664724E-5</v>
      </c>
      <c r="F337">
        <f t="shared" si="22"/>
        <v>8.9863782226025143E-3</v>
      </c>
      <c r="G337" s="1">
        <f t="shared" si="18"/>
        <v>2.0893329367550846E-2</v>
      </c>
      <c r="H337">
        <f t="shared" si="19"/>
        <v>2089.3329367550846</v>
      </c>
      <c r="I337">
        <f t="shared" si="20"/>
        <v>9343.7809484272766</v>
      </c>
    </row>
    <row r="338" spans="1:9" x14ac:dyDescent="0.45">
      <c r="A338">
        <v>-8.3644408732652664E-3</v>
      </c>
      <c r="B338">
        <f t="shared" si="23"/>
        <v>6.9963871122350613E-5</v>
      </c>
      <c r="E338">
        <f t="shared" si="21"/>
        <v>1.0250461063587508E-4</v>
      </c>
      <c r="F338">
        <f t="shared" si="22"/>
        <v>1.0124456066173387E-2</v>
      </c>
      <c r="G338" s="1">
        <f t="shared" si="18"/>
        <v>2.3539360353853126E-2</v>
      </c>
      <c r="H338">
        <f t="shared" si="19"/>
        <v>2353.9360353853126</v>
      </c>
      <c r="I338">
        <f t="shared" si="20"/>
        <v>10527.121979615818</v>
      </c>
    </row>
    <row r="339" spans="1:9" x14ac:dyDescent="0.45">
      <c r="A339">
        <v>5.7774968809098937E-3</v>
      </c>
      <c r="B339">
        <f t="shared" si="23"/>
        <v>3.3379470208923549E-5</v>
      </c>
      <c r="E339">
        <f t="shared" si="21"/>
        <v>1.008775605573681E-4</v>
      </c>
      <c r="F339">
        <f t="shared" si="22"/>
        <v>1.004378218388711E-2</v>
      </c>
      <c r="G339" s="1">
        <f t="shared" si="18"/>
        <v>2.3351793577537531E-2</v>
      </c>
      <c r="H339">
        <f t="shared" si="19"/>
        <v>2335.1793577537533</v>
      </c>
      <c r="I339">
        <f t="shared" si="20"/>
        <v>10443.239567183386</v>
      </c>
    </row>
    <row r="340" spans="1:9" x14ac:dyDescent="0.45">
      <c r="A340">
        <v>-1.3815179045195691E-2</v>
      </c>
      <c r="B340">
        <f t="shared" si="23"/>
        <v>1.9085917205081414E-4</v>
      </c>
      <c r="E340">
        <f t="shared" si="21"/>
        <v>9.7502336433413493E-5</v>
      </c>
      <c r="F340">
        <f t="shared" si="22"/>
        <v>9.8743271382618018E-3</v>
      </c>
      <c r="G340" s="1">
        <f t="shared" si="18"/>
        <v>2.295781059645869E-2</v>
      </c>
      <c r="H340">
        <f t="shared" si="19"/>
        <v>2295.7810596458689</v>
      </c>
      <c r="I340">
        <f t="shared" si="20"/>
        <v>10267.045021649325</v>
      </c>
    </row>
    <row r="341" spans="1:9" x14ac:dyDescent="0.45">
      <c r="A341">
        <v>-7.9074879977270029E-3</v>
      </c>
      <c r="B341">
        <f t="shared" si="23"/>
        <v>6.2528366434196607E-5</v>
      </c>
      <c r="E341">
        <f t="shared" si="21"/>
        <v>1.021655161648678E-4</v>
      </c>
      <c r="F341">
        <f t="shared" si="22"/>
        <v>1.0107695888028479E-2</v>
      </c>
      <c r="G341" s="1">
        <f t="shared" si="18"/>
        <v>2.3500392939666215E-2</v>
      </c>
      <c r="H341">
        <f t="shared" si="19"/>
        <v>2350.0392939666217</v>
      </c>
      <c r="I341">
        <f t="shared" si="20"/>
        <v>10509.695222209955</v>
      </c>
    </row>
    <row r="342" spans="1:9" x14ac:dyDescent="0.45">
      <c r="A342">
        <v>5.7892520999303088E-3</v>
      </c>
      <c r="B342">
        <f t="shared" si="23"/>
        <v>3.3515439876547493E-5</v>
      </c>
      <c r="E342">
        <f t="shared" si="21"/>
        <v>1.0018336771317429E-4</v>
      </c>
      <c r="F342">
        <f t="shared" si="22"/>
        <v>1.0009164186542964E-2</v>
      </c>
      <c r="G342" s="1">
        <f t="shared" si="18"/>
        <v>2.3271306733712395E-2</v>
      </c>
      <c r="H342">
        <f t="shared" si="19"/>
        <v>2327.1306733712395</v>
      </c>
      <c r="I342">
        <f t="shared" si="20"/>
        <v>10407.244756365903</v>
      </c>
    </row>
    <row r="343" spans="1:9" x14ac:dyDescent="0.45">
      <c r="A343">
        <v>-5.7612396631157026E-3</v>
      </c>
      <c r="B343">
        <f t="shared" si="23"/>
        <v>3.3191882455857534E-5</v>
      </c>
      <c r="E343">
        <f t="shared" si="21"/>
        <v>9.6849506822498446E-5</v>
      </c>
      <c r="F343">
        <f t="shared" si="22"/>
        <v>9.8412147025912639E-3</v>
      </c>
      <c r="G343" s="1">
        <f t="shared" si="18"/>
        <v>2.2880824183524689E-2</v>
      </c>
      <c r="H343">
        <f t="shared" si="19"/>
        <v>2288.0824183524692</v>
      </c>
      <c r="I343">
        <f t="shared" si="20"/>
        <v>10232.615651116468</v>
      </c>
    </row>
    <row r="344" spans="1:9" x14ac:dyDescent="0.45">
      <c r="A344">
        <v>1.5712203094153665E-3</v>
      </c>
      <c r="B344">
        <f t="shared" si="23"/>
        <v>2.46873326071932E-6</v>
      </c>
      <c r="E344">
        <f t="shared" si="21"/>
        <v>9.3661224768371731E-5</v>
      </c>
      <c r="F344">
        <f t="shared" si="22"/>
        <v>9.677872946488383E-3</v>
      </c>
      <c r="G344" s="1">
        <f t="shared" si="18"/>
        <v>2.2501054600585491E-2</v>
      </c>
      <c r="H344">
        <f t="shared" si="19"/>
        <v>2250.1054600585489</v>
      </c>
      <c r="I344">
        <f t="shared" si="20"/>
        <v>10062.777530468707</v>
      </c>
    </row>
    <row r="345" spans="1:9" x14ac:dyDescent="0.45">
      <c r="A345">
        <v>5.6164481065934524E-3</v>
      </c>
      <c r="B345">
        <f t="shared" si="23"/>
        <v>3.1544489334057176E-5</v>
      </c>
      <c r="E345">
        <f t="shared" si="21"/>
        <v>8.9099849767755587E-5</v>
      </c>
      <c r="F345">
        <f t="shared" si="22"/>
        <v>9.4392716757044116E-3</v>
      </c>
      <c r="G345" s="1">
        <f t="shared" ref="G345:G408" si="24">F345*$H$1</f>
        <v>2.1946306646012759E-2</v>
      </c>
      <c r="H345">
        <f t="shared" ref="H345:H408" si="25">G345*$H$2</f>
        <v>2194.6306646012758</v>
      </c>
      <c r="I345">
        <f t="shared" ref="I345:I408" si="26">H345*SQRT($H$3)</f>
        <v>9814.6867031079892</v>
      </c>
    </row>
    <row r="346" spans="1:9" x14ac:dyDescent="0.45">
      <c r="A346">
        <v>-1.4209217624738812E-2</v>
      </c>
      <c r="B346">
        <f t="shared" si="23"/>
        <v>2.019018655071881E-4</v>
      </c>
      <c r="E346">
        <f t="shared" ref="E346:E409" si="27">(1-$E$1)*SUMPRODUCT($D$2:$D$151,B196:B345)</f>
        <v>8.6221787584688222E-5</v>
      </c>
      <c r="F346">
        <f t="shared" ref="F346:F409" si="28">SQRT(E346)</f>
        <v>9.2855687808926501E-3</v>
      </c>
      <c r="G346" s="1">
        <f t="shared" si="24"/>
        <v>2.1588947415575412E-2</v>
      </c>
      <c r="H346">
        <f t="shared" si="25"/>
        <v>2158.8947415575412</v>
      </c>
      <c r="I346">
        <f t="shared" si="26"/>
        <v>9654.8707967790051</v>
      </c>
    </row>
    <row r="347" spans="1:9" x14ac:dyDescent="0.45">
      <c r="A347">
        <v>4.3815362005261704E-3</v>
      </c>
      <c r="B347">
        <f t="shared" si="23"/>
        <v>1.9197859476521311E-5</v>
      </c>
      <c r="E347">
        <f t="shared" si="27"/>
        <v>9.199213540923772E-5</v>
      </c>
      <c r="F347">
        <f t="shared" si="28"/>
        <v>9.5912530677298748E-3</v>
      </c>
      <c r="G347" s="1">
        <f t="shared" si="24"/>
        <v>2.2299663382471961E-2</v>
      </c>
      <c r="H347">
        <f t="shared" si="25"/>
        <v>2229.9663382471963</v>
      </c>
      <c r="I347">
        <f t="shared" si="26"/>
        <v>9972.7126397140401</v>
      </c>
    </row>
    <row r="348" spans="1:9" x14ac:dyDescent="0.45">
      <c r="A348">
        <v>1.4955548977013677E-2</v>
      </c>
      <c r="B348">
        <f t="shared" si="23"/>
        <v>2.2366844520385485E-4</v>
      </c>
      <c r="E348">
        <f t="shared" si="27"/>
        <v>8.8352315670054587E-5</v>
      </c>
      <c r="F348">
        <f t="shared" si="28"/>
        <v>9.3995912501584119E-3</v>
      </c>
      <c r="G348" s="1">
        <f t="shared" si="24"/>
        <v>2.1854049656618309E-2</v>
      </c>
      <c r="H348">
        <f t="shared" si="25"/>
        <v>2185.4049656618308</v>
      </c>
      <c r="I348">
        <f t="shared" si="26"/>
        <v>9773.4281231708956</v>
      </c>
    </row>
    <row r="349" spans="1:9" x14ac:dyDescent="0.45">
      <c r="A349">
        <v>-7.1764588938094676E-3</v>
      </c>
      <c r="B349">
        <f t="shared" si="23"/>
        <v>5.1501562254537003E-5</v>
      </c>
      <c r="E349">
        <f t="shared" si="27"/>
        <v>9.5118088045232204E-5</v>
      </c>
      <c r="F349">
        <f t="shared" si="28"/>
        <v>9.7528502523740318E-3</v>
      </c>
      <c r="G349" s="1">
        <f t="shared" si="24"/>
        <v>2.2675376836769626E-2</v>
      </c>
      <c r="H349">
        <f t="shared" si="25"/>
        <v>2267.5376836769628</v>
      </c>
      <c r="I349">
        <f t="shared" si="26"/>
        <v>10140.73680448821</v>
      </c>
    </row>
    <row r="350" spans="1:9" x14ac:dyDescent="0.45">
      <c r="A350">
        <v>1.3955605027149431E-2</v>
      </c>
      <c r="B350">
        <f t="shared" si="23"/>
        <v>1.9475891167379847E-4</v>
      </c>
      <c r="E350">
        <f t="shared" si="27"/>
        <v>9.2934526358723888E-5</v>
      </c>
      <c r="F350">
        <f t="shared" si="28"/>
        <v>9.6402555131450685E-3</v>
      </c>
      <c r="G350" s="1">
        <f t="shared" si="24"/>
        <v>2.2413594068062287E-2</v>
      </c>
      <c r="H350">
        <f t="shared" si="25"/>
        <v>2241.3594068062289</v>
      </c>
      <c r="I350">
        <f t="shared" si="26"/>
        <v>10023.663991254665</v>
      </c>
    </row>
    <row r="351" spans="1:9" x14ac:dyDescent="0.45">
      <c r="A351">
        <v>1.8485934560885653E-2</v>
      </c>
      <c r="B351">
        <f t="shared" si="23"/>
        <v>3.4172977658934663E-4</v>
      </c>
      <c r="E351">
        <f t="shared" si="27"/>
        <v>9.8021651004063457E-5</v>
      </c>
      <c r="F351">
        <f t="shared" si="28"/>
        <v>9.9005884170620621E-3</v>
      </c>
      <c r="G351" s="1">
        <f t="shared" si="24"/>
        <v>2.3018868069669296E-2</v>
      </c>
      <c r="H351">
        <f t="shared" si="25"/>
        <v>2301.8868069669297</v>
      </c>
      <c r="I351">
        <f t="shared" si="26"/>
        <v>10294.350753775983</v>
      </c>
    </row>
    <row r="352" spans="1:9" x14ac:dyDescent="0.45">
      <c r="A352">
        <v>-2.4118435248965397E-3</v>
      </c>
      <c r="B352">
        <f t="shared" si="23"/>
        <v>5.8169891885853655E-6</v>
      </c>
      <c r="E352">
        <f t="shared" si="27"/>
        <v>1.1020705312305264E-4</v>
      </c>
      <c r="F352">
        <f t="shared" si="28"/>
        <v>1.0497954711421299E-2</v>
      </c>
      <c r="G352" s="1">
        <f t="shared" si="24"/>
        <v>2.4407744704054522E-2</v>
      </c>
      <c r="H352">
        <f t="shared" si="25"/>
        <v>2440.7744704054521</v>
      </c>
      <c r="I352">
        <f t="shared" si="26"/>
        <v>10915.475267145281</v>
      </c>
    </row>
    <row r="353" spans="1:9" x14ac:dyDescent="0.45">
      <c r="A353">
        <v>-7.4392346505192108E-3</v>
      </c>
      <c r="B353">
        <f t="shared" si="23"/>
        <v>5.5342212185485687E-5</v>
      </c>
      <c r="E353">
        <f t="shared" si="27"/>
        <v>1.0498262896114555E-4</v>
      </c>
      <c r="F353">
        <f t="shared" si="28"/>
        <v>1.0246103110995202E-2</v>
      </c>
      <c r="G353" s="1">
        <f t="shared" si="24"/>
        <v>2.3822189733063846E-2</v>
      </c>
      <c r="H353">
        <f t="shared" si="25"/>
        <v>2382.2189733063847</v>
      </c>
      <c r="I353">
        <f t="shared" si="26"/>
        <v>10653.607123205667</v>
      </c>
    </row>
    <row r="354" spans="1:9" x14ac:dyDescent="0.45">
      <c r="A354">
        <v>-8.8350361693301238E-3</v>
      </c>
      <c r="B354">
        <f t="shared" si="23"/>
        <v>7.8057864113371503E-5</v>
      </c>
      <c r="E354">
        <f t="shared" si="27"/>
        <v>1.0250056834304596E-4</v>
      </c>
      <c r="F354">
        <f t="shared" si="28"/>
        <v>1.0124256434081762E-2</v>
      </c>
      <c r="G354" s="1">
        <f t="shared" si="24"/>
        <v>2.3538896209240098E-2</v>
      </c>
      <c r="H354">
        <f t="shared" si="25"/>
        <v>2353.8896209240097</v>
      </c>
      <c r="I354">
        <f t="shared" si="26"/>
        <v>10526.914407834594</v>
      </c>
    </row>
    <row r="355" spans="1:9" x14ac:dyDescent="0.45">
      <c r="A355">
        <v>-2.4063410819508135E-2</v>
      </c>
      <c r="B355">
        <f t="shared" si="23"/>
        <v>5.7904774026842118E-4</v>
      </c>
      <c r="E355">
        <f t="shared" si="27"/>
        <v>1.0127820144263695E-4</v>
      </c>
      <c r="F355">
        <f t="shared" si="28"/>
        <v>1.0063707142133903E-2</v>
      </c>
      <c r="G355" s="1">
        <f t="shared" si="24"/>
        <v>2.3398119105461326E-2</v>
      </c>
      <c r="H355">
        <f t="shared" si="25"/>
        <v>2339.8119105461324</v>
      </c>
      <c r="I355">
        <f t="shared" si="26"/>
        <v>10463.956973089618</v>
      </c>
    </row>
    <row r="356" spans="1:9" x14ac:dyDescent="0.45">
      <c r="A356">
        <v>1.8727860151557252E-2</v>
      </c>
      <c r="B356">
        <f t="shared" si="23"/>
        <v>3.50732745856286E-4</v>
      </c>
      <c r="E356">
        <f t="shared" si="27"/>
        <v>1.2516654700782102E-4</v>
      </c>
      <c r="F356">
        <f t="shared" si="28"/>
        <v>1.1187785616815377E-2</v>
      </c>
      <c r="G356" s="1">
        <f t="shared" si="24"/>
        <v>2.6011601559095755E-2</v>
      </c>
      <c r="H356">
        <f t="shared" si="25"/>
        <v>2601.1601559095757</v>
      </c>
      <c r="I356">
        <f t="shared" si="26"/>
        <v>11632.741857955525</v>
      </c>
    </row>
    <row r="357" spans="1:9" x14ac:dyDescent="0.45">
      <c r="A357">
        <v>7.3177034209948033E-3</v>
      </c>
      <c r="B357">
        <f t="shared" si="23"/>
        <v>5.3548783357639047E-5</v>
      </c>
      <c r="E357">
        <f t="shared" si="27"/>
        <v>1.36440958720113E-4</v>
      </c>
      <c r="F357">
        <f t="shared" si="28"/>
        <v>1.1680794438740585E-2</v>
      </c>
      <c r="G357" s="1">
        <f t="shared" si="24"/>
        <v>2.7157847070071864E-2</v>
      </c>
      <c r="H357">
        <f t="shared" si="25"/>
        <v>2715.7847070071862</v>
      </c>
      <c r="I357">
        <f t="shared" si="26"/>
        <v>12145.358434244836</v>
      </c>
    </row>
    <row r="358" spans="1:9" x14ac:dyDescent="0.45">
      <c r="A358">
        <v>2.6988345780409873E-2</v>
      </c>
      <c r="B358">
        <f t="shared" si="23"/>
        <v>7.2837080796296736E-4</v>
      </c>
      <c r="E358">
        <f t="shared" si="27"/>
        <v>1.3229634034205473E-4</v>
      </c>
      <c r="F358">
        <f t="shared" si="28"/>
        <v>1.1502014621015516E-2</v>
      </c>
      <c r="G358" s="1">
        <f t="shared" si="24"/>
        <v>2.6742183993861079E-2</v>
      </c>
      <c r="H358">
        <f t="shared" si="25"/>
        <v>2674.2183993861081</v>
      </c>
      <c r="I358">
        <f t="shared" si="26"/>
        <v>11959.468255416039</v>
      </c>
    </row>
    <row r="359" spans="1:9" x14ac:dyDescent="0.45">
      <c r="A359">
        <v>1.4385659596882761E-2</v>
      </c>
      <c r="B359">
        <f t="shared" si="23"/>
        <v>2.0694720203738505E-4</v>
      </c>
      <c r="E359">
        <f t="shared" si="27"/>
        <v>1.6210003243850466E-4</v>
      </c>
      <c r="F359">
        <f t="shared" si="28"/>
        <v>1.2731851100233017E-2</v>
      </c>
      <c r="G359" s="1">
        <f t="shared" si="24"/>
        <v>2.9601553808041768E-2</v>
      </c>
      <c r="H359">
        <f t="shared" si="25"/>
        <v>2960.1553808041767</v>
      </c>
      <c r="I359">
        <f t="shared" si="26"/>
        <v>13238.217310879831</v>
      </c>
    </row>
    <row r="360" spans="1:9" x14ac:dyDescent="0.45">
      <c r="A360">
        <v>-4.1452835830568802E-3</v>
      </c>
      <c r="B360">
        <f t="shared" si="23"/>
        <v>1.7183375983960886E-5</v>
      </c>
      <c r="E360">
        <f t="shared" si="27"/>
        <v>1.6434202726068359E-4</v>
      </c>
      <c r="F360">
        <f t="shared" si="28"/>
        <v>1.281959544060122E-2</v>
      </c>
      <c r="G360" s="1">
        <f t="shared" si="24"/>
        <v>2.980555939939784E-2</v>
      </c>
      <c r="H360">
        <f t="shared" si="25"/>
        <v>2980.5559399397839</v>
      </c>
      <c r="I360">
        <f t="shared" si="26"/>
        <v>13329.451384892274</v>
      </c>
    </row>
    <row r="361" spans="1:9" x14ac:dyDescent="0.45">
      <c r="A361">
        <v>1.1276483746769372E-2</v>
      </c>
      <c r="B361">
        <f t="shared" si="23"/>
        <v>1.2715908569115383E-4</v>
      </c>
      <c r="E361">
        <f t="shared" si="27"/>
        <v>1.5698179807956469E-4</v>
      </c>
      <c r="F361">
        <f t="shared" si="28"/>
        <v>1.2529237729389794E-2</v>
      </c>
      <c r="G361" s="1">
        <f t="shared" si="24"/>
        <v>2.9130477720831272E-2</v>
      </c>
      <c r="H361">
        <f t="shared" si="25"/>
        <v>2913.0477720831273</v>
      </c>
      <c r="I361">
        <f t="shared" si="26"/>
        <v>13027.545680164374</v>
      </c>
    </row>
    <row r="362" spans="1:9" x14ac:dyDescent="0.45">
      <c r="A362">
        <v>-4.2037072489620186E-3</v>
      </c>
      <c r="B362">
        <f t="shared" si="23"/>
        <v>1.7671154634975822E-5</v>
      </c>
      <c r="E362">
        <f t="shared" si="27"/>
        <v>1.5548944806216783E-4</v>
      </c>
      <c r="F362">
        <f t="shared" si="28"/>
        <v>1.2469540812001372E-2</v>
      </c>
      <c r="G362" s="1">
        <f t="shared" si="24"/>
        <v>2.8991682387903193E-2</v>
      </c>
      <c r="H362">
        <f t="shared" si="25"/>
        <v>2899.1682387903193</v>
      </c>
      <c r="I362">
        <f t="shared" si="26"/>
        <v>12965.474520286994</v>
      </c>
    </row>
    <row r="363" spans="1:9" x14ac:dyDescent="0.45">
      <c r="A363">
        <v>-1.2267514648556244E-2</v>
      </c>
      <c r="B363">
        <f t="shared" si="23"/>
        <v>1.5049191565254201E-4</v>
      </c>
      <c r="E363">
        <f t="shared" si="27"/>
        <v>1.4859163684081213E-4</v>
      </c>
      <c r="F363">
        <f t="shared" si="28"/>
        <v>1.2189816932210759E-2</v>
      </c>
      <c r="G363" s="1">
        <f t="shared" si="24"/>
        <v>2.8341324367390019E-2</v>
      </c>
      <c r="H363">
        <f t="shared" si="25"/>
        <v>2834.1324367390021</v>
      </c>
      <c r="I363">
        <f t="shared" si="26"/>
        <v>12674.625571571063</v>
      </c>
    </row>
    <row r="364" spans="1:9" x14ac:dyDescent="0.45">
      <c r="A364">
        <v>5.5904820328578353E-3</v>
      </c>
      <c r="B364">
        <f t="shared" si="23"/>
        <v>3.1253489359706275E-5</v>
      </c>
      <c r="E364">
        <f t="shared" si="27"/>
        <v>1.4868596987741055E-4</v>
      </c>
      <c r="F364">
        <f t="shared" si="28"/>
        <v>1.2193685656002887E-2</v>
      </c>
      <c r="G364" s="1">
        <f t="shared" si="24"/>
        <v>2.8350319150206714E-2</v>
      </c>
      <c r="H364">
        <f t="shared" si="25"/>
        <v>2835.0319150206715</v>
      </c>
      <c r="I364">
        <f t="shared" si="26"/>
        <v>12678.648160735258</v>
      </c>
    </row>
    <row r="365" spans="1:9" x14ac:dyDescent="0.45">
      <c r="A365">
        <v>-4.6338755055330694E-3</v>
      </c>
      <c r="B365">
        <f t="shared" si="23"/>
        <v>2.1472802200779359E-5</v>
      </c>
      <c r="E365">
        <f t="shared" si="27"/>
        <v>1.42813835620406E-4</v>
      </c>
      <c r="F365">
        <f t="shared" si="28"/>
        <v>1.1950474284328886E-2</v>
      </c>
      <c r="G365" s="1">
        <f t="shared" si="24"/>
        <v>2.7784852711064661E-2</v>
      </c>
      <c r="H365">
        <f t="shared" si="25"/>
        <v>2778.4852711064659</v>
      </c>
      <c r="I365">
        <f t="shared" si="26"/>
        <v>12425.763881351981</v>
      </c>
    </row>
    <row r="366" spans="1:9" x14ac:dyDescent="0.45">
      <c r="A366">
        <v>-7.9085339166340418E-3</v>
      </c>
      <c r="B366">
        <f t="shared" si="23"/>
        <v>6.2544908710550982E-5</v>
      </c>
      <c r="E366">
        <f t="shared" si="27"/>
        <v>1.3674154240859196E-4</v>
      </c>
      <c r="F366">
        <f t="shared" si="28"/>
        <v>1.1693653937439399E-2</v>
      </c>
      <c r="G366" s="1">
        <f t="shared" si="24"/>
        <v>2.7187745404546604E-2</v>
      </c>
      <c r="H366">
        <f t="shared" si="25"/>
        <v>2718.7745404546604</v>
      </c>
      <c r="I366">
        <f t="shared" si="26"/>
        <v>12158.729375904746</v>
      </c>
    </row>
    <row r="367" spans="1:9" x14ac:dyDescent="0.45">
      <c r="A367">
        <v>1.8166065274272114E-2</v>
      </c>
      <c r="B367">
        <f t="shared" si="23"/>
        <v>3.3000592754911517E-4</v>
      </c>
      <c r="E367">
        <f t="shared" si="27"/>
        <v>1.3302991584437278E-4</v>
      </c>
      <c r="F367">
        <f t="shared" si="28"/>
        <v>1.1533859538089268E-2</v>
      </c>
      <c r="G367" s="1">
        <f t="shared" si="24"/>
        <v>2.681622342605755E-2</v>
      </c>
      <c r="H367">
        <f t="shared" si="25"/>
        <v>2681.622342605755</v>
      </c>
      <c r="I367">
        <f t="shared" si="26"/>
        <v>11992.579696097398</v>
      </c>
    </row>
    <row r="368" spans="1:9" x14ac:dyDescent="0.45">
      <c r="A368">
        <v>-1.0889129953284282E-2</v>
      </c>
      <c r="B368">
        <f t="shared" si="23"/>
        <v>1.1857315113951295E-4</v>
      </c>
      <c r="E368">
        <f t="shared" si="27"/>
        <v>1.4287788601141367E-4</v>
      </c>
      <c r="F368">
        <f t="shared" si="28"/>
        <v>1.1953153810246636E-2</v>
      </c>
      <c r="G368" s="1">
        <f t="shared" si="24"/>
        <v>2.7791082608823431E-2</v>
      </c>
      <c r="H368">
        <f t="shared" si="25"/>
        <v>2779.1082608823431</v>
      </c>
      <c r="I368">
        <f t="shared" si="26"/>
        <v>12428.549976328279</v>
      </c>
    </row>
    <row r="369" spans="1:9" x14ac:dyDescent="0.45">
      <c r="A369">
        <v>5.2713176046381705E-3</v>
      </c>
      <c r="B369">
        <f t="shared" si="23"/>
        <v>2.7786789288968298E-5</v>
      </c>
      <c r="E369">
        <f t="shared" si="27"/>
        <v>1.4166263663790131E-4</v>
      </c>
      <c r="F369">
        <f t="shared" si="28"/>
        <v>1.1902211417963524E-2</v>
      </c>
      <c r="G369" s="1">
        <f t="shared" si="24"/>
        <v>2.7672641546765197E-2</v>
      </c>
      <c r="H369">
        <f t="shared" si="25"/>
        <v>2767.2641546765199</v>
      </c>
      <c r="I369">
        <f t="shared" si="26"/>
        <v>12375.581523110382</v>
      </c>
    </row>
    <row r="370" spans="1:9" x14ac:dyDescent="0.45">
      <c r="A370">
        <v>-8.4734665506402962E-3</v>
      </c>
      <c r="B370">
        <f t="shared" si="23"/>
        <v>7.1799635384819962E-5</v>
      </c>
      <c r="E370">
        <f t="shared" si="27"/>
        <v>1.359686877840929E-4</v>
      </c>
      <c r="F370">
        <f t="shared" si="28"/>
        <v>1.1660561212227005E-2</v>
      </c>
      <c r="G370" s="1">
        <f t="shared" si="24"/>
        <v>2.711080481842779E-2</v>
      </c>
      <c r="H370">
        <f t="shared" si="25"/>
        <v>2711.0804818427791</v>
      </c>
      <c r="I370">
        <f t="shared" si="26"/>
        <v>12124.320499746678</v>
      </c>
    </row>
    <row r="371" spans="1:9" x14ac:dyDescent="0.45">
      <c r="A371">
        <v>-3.5700054468179587E-3</v>
      </c>
      <c r="B371">
        <f t="shared" si="23"/>
        <v>1.2744938890309893E-5</v>
      </c>
      <c r="E371">
        <f t="shared" si="27"/>
        <v>1.3275859549686511E-4</v>
      </c>
      <c r="F371">
        <f t="shared" si="28"/>
        <v>1.1522091628557078E-2</v>
      </c>
      <c r="G371" s="1">
        <f t="shared" si="24"/>
        <v>2.6788863036395209E-2</v>
      </c>
      <c r="H371">
        <f t="shared" si="25"/>
        <v>2678.886303639521</v>
      </c>
      <c r="I371">
        <f t="shared" si="26"/>
        <v>11980.343757862223</v>
      </c>
    </row>
    <row r="372" spans="1:9" x14ac:dyDescent="0.45">
      <c r="A372">
        <v>7.4948275141650811E-3</v>
      </c>
      <c r="B372">
        <f t="shared" si="23"/>
        <v>5.6172439467085928E-5</v>
      </c>
      <c r="E372">
        <f t="shared" si="27"/>
        <v>1.2675783066382244E-4</v>
      </c>
      <c r="F372">
        <f t="shared" si="28"/>
        <v>1.1258678015816174E-2</v>
      </c>
      <c r="G372" s="1">
        <f t="shared" si="24"/>
        <v>2.6176426386772606E-2</v>
      </c>
      <c r="H372">
        <f t="shared" si="25"/>
        <v>2617.6426386772605</v>
      </c>
      <c r="I372">
        <f t="shared" si="26"/>
        <v>11706.453761768549</v>
      </c>
    </row>
    <row r="373" spans="1:9" x14ac:dyDescent="0.45">
      <c r="A373">
        <v>6.7312157625565305E-3</v>
      </c>
      <c r="B373">
        <f t="shared" si="23"/>
        <v>4.5309265642089498E-5</v>
      </c>
      <c r="E373">
        <f t="shared" si="27"/>
        <v>1.2322636699257063E-4</v>
      </c>
      <c r="F373">
        <f t="shared" si="28"/>
        <v>1.1100737227435421E-2</v>
      </c>
      <c r="G373" s="1">
        <f t="shared" si="24"/>
        <v>2.5809214053787354E-2</v>
      </c>
      <c r="H373">
        <f t="shared" si="25"/>
        <v>2580.9214053787355</v>
      </c>
      <c r="I373">
        <f t="shared" si="26"/>
        <v>11542.231414022288</v>
      </c>
    </row>
    <row r="374" spans="1:9" x14ac:dyDescent="0.45">
      <c r="A374">
        <v>1.5772002370795235E-2</v>
      </c>
      <c r="B374">
        <f t="shared" si="23"/>
        <v>2.4875605878437053E-4</v>
      </c>
      <c r="E374">
        <f t="shared" si="27"/>
        <v>1.1933047760837219E-4</v>
      </c>
      <c r="F374">
        <f t="shared" si="28"/>
        <v>1.0923849028999448E-2</v>
      </c>
      <c r="G374" s="1">
        <f t="shared" si="24"/>
        <v>2.539794899242372E-2</v>
      </c>
      <c r="H374">
        <f t="shared" si="25"/>
        <v>2539.7948992423721</v>
      </c>
      <c r="I374">
        <f t="shared" si="26"/>
        <v>11358.308087226347</v>
      </c>
    </row>
    <row r="375" spans="1:9" x14ac:dyDescent="0.45">
      <c r="A375">
        <v>-8.3535951489466242E-3</v>
      </c>
      <c r="B375">
        <f t="shared" si="23"/>
        <v>6.978255191250458E-5</v>
      </c>
      <c r="E375">
        <f t="shared" si="27"/>
        <v>1.2579980300333668E-4</v>
      </c>
      <c r="F375">
        <f t="shared" si="28"/>
        <v>1.1216051132343178E-2</v>
      </c>
      <c r="G375" s="1">
        <f t="shared" si="24"/>
        <v>2.6077318882697889E-2</v>
      </c>
      <c r="H375">
        <f t="shared" si="25"/>
        <v>2607.7318882697891</v>
      </c>
      <c r="I375">
        <f t="shared" si="26"/>
        <v>11662.13153853027</v>
      </c>
    </row>
    <row r="376" spans="1:9" x14ac:dyDescent="0.45">
      <c r="A376">
        <v>8.2606902651605196E-3</v>
      </c>
      <c r="B376">
        <f t="shared" si="23"/>
        <v>6.8239003656917781E-5</v>
      </c>
      <c r="E376">
        <f t="shared" si="27"/>
        <v>1.229988694169593E-4</v>
      </c>
      <c r="F376">
        <f t="shared" si="28"/>
        <v>1.1090485535672425E-2</v>
      </c>
      <c r="G376" s="1">
        <f t="shared" si="24"/>
        <v>2.5785378870438393E-2</v>
      </c>
      <c r="H376">
        <f t="shared" si="25"/>
        <v>2578.5378870438394</v>
      </c>
      <c r="I376">
        <f t="shared" si="26"/>
        <v>11531.5719959774</v>
      </c>
    </row>
    <row r="377" spans="1:9" x14ac:dyDescent="0.45">
      <c r="A377">
        <v>6.4781261244206689E-3</v>
      </c>
      <c r="B377">
        <f t="shared" si="23"/>
        <v>4.1966118083901555E-5</v>
      </c>
      <c r="E377">
        <f t="shared" si="27"/>
        <v>1.2026085828492361E-4</v>
      </c>
      <c r="F377">
        <f t="shared" si="28"/>
        <v>1.0966351183731241E-2</v>
      </c>
      <c r="G377" s="1">
        <f t="shared" si="24"/>
        <v>2.5496766502175139E-2</v>
      </c>
      <c r="H377">
        <f t="shared" si="25"/>
        <v>2549.6766502175137</v>
      </c>
      <c r="I377">
        <f t="shared" si="26"/>
        <v>11402.50062106063</v>
      </c>
    </row>
    <row r="378" spans="1:9" x14ac:dyDescent="0.45">
      <c r="A378">
        <v>5.1845063353539445E-3</v>
      </c>
      <c r="B378">
        <f t="shared" si="23"/>
        <v>2.6879105941325185E-5</v>
      </c>
      <c r="E378">
        <f t="shared" si="27"/>
        <v>1.1634482335943145E-4</v>
      </c>
      <c r="F378">
        <f t="shared" si="28"/>
        <v>1.0786325758080527E-2</v>
      </c>
      <c r="G378" s="1">
        <f t="shared" si="24"/>
        <v>2.5078207387537226E-2</v>
      </c>
      <c r="H378">
        <f t="shared" si="25"/>
        <v>2507.8207387537227</v>
      </c>
      <c r="I378">
        <f t="shared" si="26"/>
        <v>11215.31529447413</v>
      </c>
    </row>
    <row r="379" spans="1:9" x14ac:dyDescent="0.45">
      <c r="A379">
        <v>-2.0885909179924056E-2</v>
      </c>
      <c r="B379">
        <f t="shared" si="23"/>
        <v>4.3622120227203596E-4</v>
      </c>
      <c r="E379">
        <f t="shared" si="27"/>
        <v>1.1186834081500344E-4</v>
      </c>
      <c r="F379">
        <f t="shared" si="28"/>
        <v>1.0576783103335504E-2</v>
      </c>
      <c r="G379" s="1">
        <f t="shared" si="24"/>
        <v>2.4591020715255051E-2</v>
      </c>
      <c r="H379">
        <f t="shared" si="25"/>
        <v>2459.1020715255049</v>
      </c>
      <c r="I379">
        <f t="shared" si="26"/>
        <v>10997.438791083159</v>
      </c>
    </row>
    <row r="380" spans="1:9" x14ac:dyDescent="0.45">
      <c r="A380">
        <v>-6.0692400438711047E-3</v>
      </c>
      <c r="B380">
        <f t="shared" si="23"/>
        <v>3.6835674710128529E-5</v>
      </c>
      <c r="E380">
        <f t="shared" si="27"/>
        <v>1.2808254056462099E-4</v>
      </c>
      <c r="F380">
        <f t="shared" si="28"/>
        <v>1.1317355723163471E-2</v>
      </c>
      <c r="G380" s="1">
        <f t="shared" si="24"/>
        <v>2.6312852056355071E-2</v>
      </c>
      <c r="H380">
        <f t="shared" si="25"/>
        <v>2631.2852056355073</v>
      </c>
      <c r="I380">
        <f t="shared" si="26"/>
        <v>11767.465175981015</v>
      </c>
    </row>
    <row r="381" spans="1:9" x14ac:dyDescent="0.45">
      <c r="A381">
        <v>-2.2486165107693523E-2</v>
      </c>
      <c r="B381">
        <f t="shared" si="23"/>
        <v>5.0562762125045367E-4</v>
      </c>
      <c r="E381">
        <f t="shared" si="27"/>
        <v>1.2351377814853314E-4</v>
      </c>
      <c r="F381">
        <f t="shared" si="28"/>
        <v>1.1113675276367091E-2</v>
      </c>
      <c r="G381" s="1">
        <f t="shared" si="24"/>
        <v>2.5839295017553488E-2</v>
      </c>
      <c r="H381">
        <f t="shared" si="25"/>
        <v>2583.9295017553486</v>
      </c>
      <c r="I381">
        <f t="shared" si="26"/>
        <v>11555.684029984244</v>
      </c>
    </row>
    <row r="382" spans="1:9" x14ac:dyDescent="0.45">
      <c r="A382">
        <v>-3.8461621443275362E-3</v>
      </c>
      <c r="B382">
        <f t="shared" si="23"/>
        <v>1.4792963240458191E-5</v>
      </c>
      <c r="E382">
        <f t="shared" si="27"/>
        <v>1.4261830656885693E-4</v>
      </c>
      <c r="F382">
        <f t="shared" si="28"/>
        <v>1.1942290675111577E-2</v>
      </c>
      <c r="G382" s="1">
        <f t="shared" si="24"/>
        <v>2.776582581963442E-2</v>
      </c>
      <c r="H382">
        <f t="shared" si="25"/>
        <v>2776.582581963442</v>
      </c>
      <c r="I382">
        <f t="shared" si="26"/>
        <v>12417.254796824276</v>
      </c>
    </row>
    <row r="383" spans="1:9" x14ac:dyDescent="0.45">
      <c r="A383">
        <v>1.9326034816913307E-2</v>
      </c>
      <c r="B383">
        <f t="shared" si="23"/>
        <v>3.7349562174454533E-4</v>
      </c>
      <c r="E383">
        <f t="shared" si="27"/>
        <v>1.3622082683543965E-4</v>
      </c>
      <c r="F383">
        <f t="shared" si="28"/>
        <v>1.167136782195813E-2</v>
      </c>
      <c r="G383" s="1">
        <f t="shared" si="24"/>
        <v>2.7135930186052655E-2</v>
      </c>
      <c r="H383">
        <f t="shared" si="25"/>
        <v>2713.5930186052656</v>
      </c>
      <c r="I383">
        <f t="shared" si="26"/>
        <v>12135.556905740452</v>
      </c>
    </row>
    <row r="384" spans="1:9" x14ac:dyDescent="0.45">
      <c r="A384">
        <v>6.7783048507408239E-3</v>
      </c>
      <c r="B384">
        <f t="shared" si="23"/>
        <v>4.5945416649576583E-5</v>
      </c>
      <c r="E384">
        <f t="shared" si="27"/>
        <v>1.4808448199933312E-4</v>
      </c>
      <c r="F384">
        <f t="shared" si="28"/>
        <v>1.2168996754019336E-2</v>
      </c>
      <c r="G384" s="1">
        <f t="shared" si="24"/>
        <v>2.8292917453094958E-2</v>
      </c>
      <c r="H384">
        <f t="shared" si="25"/>
        <v>2829.291745309496</v>
      </c>
      <c r="I384">
        <f t="shared" si="26"/>
        <v>12652.977341382111</v>
      </c>
    </row>
    <row r="385" spans="1:9" x14ac:dyDescent="0.45">
      <c r="A385">
        <v>-5.1617689678096212E-3</v>
      </c>
      <c r="B385">
        <f t="shared" si="23"/>
        <v>2.6643858877042402E-5</v>
      </c>
      <c r="E385">
        <f t="shared" si="27"/>
        <v>1.4297001848651128E-4</v>
      </c>
      <c r="F385">
        <f t="shared" si="28"/>
        <v>1.1957007087332151E-2</v>
      </c>
      <c r="G385" s="1">
        <f t="shared" si="24"/>
        <v>2.7800041478047252E-2</v>
      </c>
      <c r="H385">
        <f t="shared" si="25"/>
        <v>2780.0041478047251</v>
      </c>
      <c r="I385">
        <f t="shared" si="26"/>
        <v>12432.556504445476</v>
      </c>
    </row>
    <row r="386" spans="1:9" x14ac:dyDescent="0.45">
      <c r="A386">
        <v>-2.1530831872951239E-2</v>
      </c>
      <c r="B386">
        <f t="shared" si="23"/>
        <v>4.63576721141293E-4</v>
      </c>
      <c r="E386">
        <f t="shared" si="27"/>
        <v>1.3715273440990231E-4</v>
      </c>
      <c r="F386">
        <f t="shared" si="28"/>
        <v>1.1711222583910798E-2</v>
      </c>
      <c r="G386" s="1">
        <f t="shared" si="24"/>
        <v>2.722859250759261E-2</v>
      </c>
      <c r="H386">
        <f t="shared" si="25"/>
        <v>2722.8592507592612</v>
      </c>
      <c r="I386">
        <f t="shared" si="26"/>
        <v>12176.996755723709</v>
      </c>
    </row>
    <row r="387" spans="1:9" x14ac:dyDescent="0.45">
      <c r="A387">
        <v>-8.2887027019751258E-3</v>
      </c>
      <c r="B387">
        <f t="shared" ref="B387:B450" si="29">A387^2</f>
        <v>6.8702592481729755E-5</v>
      </c>
      <c r="E387">
        <f t="shared" si="27"/>
        <v>1.534739329818518E-4</v>
      </c>
      <c r="F387">
        <f t="shared" si="28"/>
        <v>1.2388459669460599E-2</v>
      </c>
      <c r="G387" s="1">
        <f t="shared" si="24"/>
        <v>2.8803168731495896E-2</v>
      </c>
      <c r="H387">
        <f t="shared" si="25"/>
        <v>2880.3168731495894</v>
      </c>
      <c r="I387">
        <f t="shared" si="26"/>
        <v>12881.168650204241</v>
      </c>
    </row>
    <row r="388" spans="1:9" x14ac:dyDescent="0.45">
      <c r="A388">
        <v>1.1144561540277209E-2</v>
      </c>
      <c r="B388">
        <f t="shared" si="29"/>
        <v>1.2420125192502592E-4</v>
      </c>
      <c r="E388">
        <f t="shared" si="27"/>
        <v>1.4923536523617339E-4</v>
      </c>
      <c r="F388">
        <f t="shared" si="28"/>
        <v>1.2216192747176733E-2</v>
      </c>
      <c r="G388" s="1">
        <f t="shared" si="24"/>
        <v>2.8402648137185904E-2</v>
      </c>
      <c r="H388">
        <f t="shared" si="25"/>
        <v>2840.2648137185906</v>
      </c>
      <c r="I388">
        <f t="shared" si="26"/>
        <v>12702.050395151093</v>
      </c>
    </row>
    <row r="389" spans="1:9" x14ac:dyDescent="0.45">
      <c r="A389">
        <v>-1.4524857760989107E-2</v>
      </c>
      <c r="B389">
        <f t="shared" si="29"/>
        <v>2.1097149297696549E-4</v>
      </c>
      <c r="E389">
        <f t="shared" si="27"/>
        <v>1.4798365747441448E-4</v>
      </c>
      <c r="F389">
        <f t="shared" si="28"/>
        <v>1.2164853368389381E-2</v>
      </c>
      <c r="G389" s="1">
        <f t="shared" si="24"/>
        <v>2.8283284081505315E-2</v>
      </c>
      <c r="H389">
        <f t="shared" si="25"/>
        <v>2828.3284081505317</v>
      </c>
      <c r="I389">
        <f t="shared" si="26"/>
        <v>12648.669166636719</v>
      </c>
    </row>
    <row r="390" spans="1:9" x14ac:dyDescent="0.45">
      <c r="A390">
        <v>5.9118065109942108E-3</v>
      </c>
      <c r="B390">
        <f t="shared" si="29"/>
        <v>3.4949456223433543E-5</v>
      </c>
      <c r="E390">
        <f t="shared" si="27"/>
        <v>1.5113140065886331E-4</v>
      </c>
      <c r="F390">
        <f t="shared" si="28"/>
        <v>1.2293551181772633E-2</v>
      </c>
      <c r="G390" s="1">
        <f t="shared" si="24"/>
        <v>2.8582506497621375E-2</v>
      </c>
      <c r="H390">
        <f t="shared" si="25"/>
        <v>2858.2506497621375</v>
      </c>
      <c r="I390">
        <f t="shared" si="26"/>
        <v>12782.485499202166</v>
      </c>
    </row>
    <row r="391" spans="1:9" x14ac:dyDescent="0.45">
      <c r="A391">
        <v>1.2637906365853269E-2</v>
      </c>
      <c r="B391">
        <f t="shared" si="29"/>
        <v>1.5971667731207458E-4</v>
      </c>
      <c r="E391">
        <f t="shared" si="27"/>
        <v>1.4530666614740519E-4</v>
      </c>
      <c r="F391">
        <f t="shared" si="28"/>
        <v>1.2054321471879086E-2</v>
      </c>
      <c r="G391" s="1">
        <f t="shared" si="24"/>
        <v>2.8026297422118877E-2</v>
      </c>
      <c r="H391">
        <f t="shared" si="25"/>
        <v>2802.6297422118878</v>
      </c>
      <c r="I391">
        <f t="shared" si="26"/>
        <v>12533.741238696986</v>
      </c>
    </row>
    <row r="392" spans="1:9" x14ac:dyDescent="0.45">
      <c r="A392">
        <v>6.3185439103108365E-3</v>
      </c>
      <c r="B392">
        <f t="shared" si="29"/>
        <v>3.9923997146526154E-5</v>
      </c>
      <c r="E392">
        <f t="shared" si="27"/>
        <v>1.4602701611389339E-4</v>
      </c>
      <c r="F392">
        <f t="shared" si="28"/>
        <v>1.2084163856630437E-2</v>
      </c>
      <c r="G392" s="1">
        <f t="shared" si="24"/>
        <v>2.809568096666577E-2</v>
      </c>
      <c r="H392">
        <f t="shared" si="25"/>
        <v>2809.5680966665768</v>
      </c>
      <c r="I392">
        <f t="shared" si="26"/>
        <v>12564.770503122332</v>
      </c>
    </row>
    <row r="393" spans="1:9" x14ac:dyDescent="0.45">
      <c r="A393">
        <v>-1.4211423149390612E-3</v>
      </c>
      <c r="B393">
        <f t="shared" si="29"/>
        <v>2.0196454793103537E-6</v>
      </c>
      <c r="E393">
        <f t="shared" si="27"/>
        <v>1.4072180595568556E-4</v>
      </c>
      <c r="F393">
        <f t="shared" si="28"/>
        <v>1.1862622220895579E-2</v>
      </c>
      <c r="G393" s="1">
        <f t="shared" si="24"/>
        <v>2.7580596663582223E-2</v>
      </c>
      <c r="H393">
        <f t="shared" si="25"/>
        <v>2758.0596663582223</v>
      </c>
      <c r="I393">
        <f t="shared" si="26"/>
        <v>12334.41779995475</v>
      </c>
    </row>
    <row r="394" spans="1:9" x14ac:dyDescent="0.45">
      <c r="A394">
        <v>-7.8897301136748865E-3</v>
      </c>
      <c r="B394">
        <f t="shared" si="29"/>
        <v>6.2247841266628343E-5</v>
      </c>
      <c r="E394">
        <f t="shared" si="27"/>
        <v>1.3378669332785641E-4</v>
      </c>
      <c r="F394">
        <f t="shared" si="28"/>
        <v>1.1566619788332995E-2</v>
      </c>
      <c r="G394" s="1">
        <f t="shared" si="24"/>
        <v>2.6892391007874213E-2</v>
      </c>
      <c r="H394">
        <f t="shared" si="25"/>
        <v>2689.2391007874212</v>
      </c>
      <c r="I394">
        <f t="shared" si="26"/>
        <v>12026.642874222165</v>
      </c>
    </row>
    <row r="395" spans="1:9" x14ac:dyDescent="0.45">
      <c r="A395">
        <v>-2.2918902686797082E-2</v>
      </c>
      <c r="B395">
        <f t="shared" si="29"/>
        <v>5.2527610036687451E-4</v>
      </c>
      <c r="E395">
        <f t="shared" si="27"/>
        <v>1.3020950633616467E-4</v>
      </c>
      <c r="F395">
        <f t="shared" si="28"/>
        <v>1.1410938012984062E-2</v>
      </c>
      <c r="G395" s="1">
        <f t="shared" si="24"/>
        <v>2.6530430880187948E-2</v>
      </c>
      <c r="H395">
        <f t="shared" si="25"/>
        <v>2653.0430880187946</v>
      </c>
      <c r="I395">
        <f t="shared" si="26"/>
        <v>11864.769384091966</v>
      </c>
    </row>
    <row r="396" spans="1:9" x14ac:dyDescent="0.45">
      <c r="A396">
        <v>-2.0229435904184356E-3</v>
      </c>
      <c r="B396">
        <f t="shared" si="29"/>
        <v>4.0923007700150313E-6</v>
      </c>
      <c r="E396">
        <f t="shared" si="27"/>
        <v>1.4996265679334265E-4</v>
      </c>
      <c r="F396">
        <f t="shared" si="28"/>
        <v>1.2245924088991514E-2</v>
      </c>
      <c r="G396" s="1">
        <f t="shared" si="24"/>
        <v>2.8471773506905274E-2</v>
      </c>
      <c r="H396">
        <f t="shared" si="25"/>
        <v>2847.1773506905274</v>
      </c>
      <c r="I396">
        <f t="shared" si="26"/>
        <v>12732.964200283555</v>
      </c>
    </row>
    <row r="397" spans="1:9" x14ac:dyDescent="0.45">
      <c r="A397">
        <v>1.3945509635959752E-2</v>
      </c>
      <c r="B397">
        <f t="shared" si="29"/>
        <v>1.9447723900664629E-4</v>
      </c>
      <c r="E397">
        <f t="shared" si="27"/>
        <v>1.4266681790962916E-4</v>
      </c>
      <c r="F397">
        <f t="shared" si="28"/>
        <v>1.1944321575946838E-2</v>
      </c>
      <c r="G397" s="1">
        <f t="shared" si="24"/>
        <v>2.7770547664076401E-2</v>
      </c>
      <c r="H397">
        <f t="shared" si="25"/>
        <v>2777.0547664076403</v>
      </c>
      <c r="I397">
        <f t="shared" si="26"/>
        <v>12419.366469854567</v>
      </c>
    </row>
    <row r="398" spans="1:9" x14ac:dyDescent="0.45">
      <c r="A398">
        <v>-2.4615019356133416E-3</v>
      </c>
      <c r="B398">
        <f t="shared" si="29"/>
        <v>6.0589917790282272E-6</v>
      </c>
      <c r="E398">
        <f t="shared" si="27"/>
        <v>1.452565387158996E-4</v>
      </c>
      <c r="F398">
        <f t="shared" si="28"/>
        <v>1.2052242061786662E-2</v>
      </c>
      <c r="G398" s="1">
        <f t="shared" si="24"/>
        <v>2.802146279365399E-2</v>
      </c>
      <c r="H398">
        <f t="shared" si="25"/>
        <v>2802.1462793653991</v>
      </c>
      <c r="I398">
        <f t="shared" si="26"/>
        <v>12531.579127118297</v>
      </c>
    </row>
    <row r="399" spans="1:9" x14ac:dyDescent="0.45">
      <c r="A399">
        <v>-1.7259662854485214E-2</v>
      </c>
      <c r="B399">
        <f t="shared" si="29"/>
        <v>2.9789596185049666E-4</v>
      </c>
      <c r="E399">
        <f t="shared" si="27"/>
        <v>1.3829666099060984E-4</v>
      </c>
      <c r="F399">
        <f t="shared" si="28"/>
        <v>1.1759960076063601E-2</v>
      </c>
      <c r="G399" s="1">
        <f t="shared" si="24"/>
        <v>2.7341907176847875E-2</v>
      </c>
      <c r="H399">
        <f t="shared" si="25"/>
        <v>2734.1907176847876</v>
      </c>
      <c r="I399">
        <f t="shared" si="26"/>
        <v>12227.672616384243</v>
      </c>
    </row>
    <row r="400" spans="1:9" x14ac:dyDescent="0.45">
      <c r="A400">
        <v>-6.7956420934933703E-3</v>
      </c>
      <c r="B400">
        <f t="shared" si="29"/>
        <v>4.6180751462858954E-5</v>
      </c>
      <c r="E400">
        <f t="shared" si="27"/>
        <v>1.4626961175997808E-4</v>
      </c>
      <c r="F400">
        <f t="shared" si="28"/>
        <v>1.2094197441747761E-2</v>
      </c>
      <c r="G400" s="1">
        <f t="shared" si="24"/>
        <v>2.8119009052063545E-2</v>
      </c>
      <c r="H400">
        <f t="shared" si="25"/>
        <v>2811.9009052063543</v>
      </c>
      <c r="I400">
        <f t="shared" si="26"/>
        <v>12575.203140069201</v>
      </c>
    </row>
    <row r="401" spans="1:9" x14ac:dyDescent="0.45">
      <c r="A401">
        <v>1.277544470212888E-3</v>
      </c>
      <c r="B401">
        <f t="shared" si="29"/>
        <v>1.6321198733715286E-6</v>
      </c>
      <c r="E401">
        <f t="shared" si="27"/>
        <v>1.4125921588775561E-4</v>
      </c>
      <c r="F401">
        <f t="shared" si="28"/>
        <v>1.1885252032992637E-2</v>
      </c>
      <c r="G401" s="1">
        <f t="shared" si="24"/>
        <v>2.7633210976707883E-2</v>
      </c>
      <c r="H401">
        <f t="shared" si="25"/>
        <v>2763.3210976707883</v>
      </c>
      <c r="I401">
        <f t="shared" si="26"/>
        <v>12357.947636102437</v>
      </c>
    </row>
    <row r="402" spans="1:9" x14ac:dyDescent="0.45">
      <c r="A402">
        <v>-7.6113337854621932E-5</v>
      </c>
      <c r="B402">
        <f t="shared" si="29"/>
        <v>5.793240199371824E-9</v>
      </c>
      <c r="E402">
        <f t="shared" si="27"/>
        <v>1.3427438748904723E-4</v>
      </c>
      <c r="F402">
        <f t="shared" si="28"/>
        <v>1.1587682576298301E-2</v>
      </c>
      <c r="G402" s="1">
        <f t="shared" si="24"/>
        <v>2.6941361989893553E-2</v>
      </c>
      <c r="H402">
        <f t="shared" si="25"/>
        <v>2694.1361989893553</v>
      </c>
      <c r="I402">
        <f t="shared" si="26"/>
        <v>12048.543363166198</v>
      </c>
    </row>
    <row r="403" spans="1:9" x14ac:dyDescent="0.45">
      <c r="A403">
        <v>6.69192559143994E-3</v>
      </c>
      <c r="B403">
        <f t="shared" si="29"/>
        <v>4.4781868121368794E-5</v>
      </c>
      <c r="E403">
        <f t="shared" si="27"/>
        <v>1.2755966090869245E-4</v>
      </c>
      <c r="F403">
        <f t="shared" si="28"/>
        <v>1.1294231311102692E-2</v>
      </c>
      <c r="G403" s="1">
        <f t="shared" si="24"/>
        <v>2.6259087798313763E-2</v>
      </c>
      <c r="H403">
        <f t="shared" si="25"/>
        <v>2625.9087798313763</v>
      </c>
      <c r="I403">
        <f t="shared" si="26"/>
        <v>11743.421068832973</v>
      </c>
    </row>
    <row r="404" spans="1:9" x14ac:dyDescent="0.45">
      <c r="A404">
        <v>-5.9729586610046681E-3</v>
      </c>
      <c r="B404">
        <f t="shared" si="29"/>
        <v>3.567623516607068E-5</v>
      </c>
      <c r="E404">
        <f t="shared" si="27"/>
        <v>1.2342030047200969E-4</v>
      </c>
      <c r="F404">
        <f t="shared" si="28"/>
        <v>1.1109468955445607E-2</v>
      </c>
      <c r="G404" s="1">
        <f t="shared" si="24"/>
        <v>2.5829515321411037E-2</v>
      </c>
      <c r="H404">
        <f t="shared" si="25"/>
        <v>2582.9515321411036</v>
      </c>
      <c r="I404">
        <f t="shared" si="26"/>
        <v>11551.310416909482</v>
      </c>
    </row>
    <row r="405" spans="1:9" x14ac:dyDescent="0.45">
      <c r="A405">
        <v>5.275717285257997E-3</v>
      </c>
      <c r="B405">
        <f t="shared" si="29"/>
        <v>2.7833192873970009E-5</v>
      </c>
      <c r="E405">
        <f t="shared" si="27"/>
        <v>1.1903291386837887E-4</v>
      </c>
      <c r="F405">
        <f t="shared" si="28"/>
        <v>1.0910220615018694E-2</v>
      </c>
      <c r="G405" s="1">
        <f t="shared" si="24"/>
        <v>2.5366262929918466E-2</v>
      </c>
      <c r="H405">
        <f t="shared" si="25"/>
        <v>2536.6262929918466</v>
      </c>
      <c r="I405">
        <f t="shared" si="26"/>
        <v>11344.137649286136</v>
      </c>
    </row>
    <row r="406" spans="1:9" x14ac:dyDescent="0.45">
      <c r="A406">
        <v>-3.6811115933232941E-3</v>
      </c>
      <c r="B406">
        <f t="shared" si="29"/>
        <v>1.355058256249916E-5</v>
      </c>
      <c r="E406">
        <f t="shared" si="27"/>
        <v>1.1447271184774542E-4</v>
      </c>
      <c r="F406">
        <f t="shared" si="28"/>
        <v>1.0699192111918797E-2</v>
      </c>
      <c r="G406" s="1">
        <f t="shared" si="24"/>
        <v>2.4875621660211206E-2</v>
      </c>
      <c r="H406">
        <f t="shared" si="25"/>
        <v>2487.5621660211204</v>
      </c>
      <c r="I406">
        <f t="shared" si="26"/>
        <v>11124.716202959686</v>
      </c>
    </row>
    <row r="407" spans="1:9" x14ac:dyDescent="0.45">
      <c r="A407">
        <v>-7.2787656790751498E-3</v>
      </c>
      <c r="B407">
        <f t="shared" si="29"/>
        <v>5.2980429810882324E-5</v>
      </c>
      <c r="E407">
        <f t="shared" si="27"/>
        <v>1.0942658342274401E-4</v>
      </c>
      <c r="F407">
        <f t="shared" si="28"/>
        <v>1.0460716200277304E-2</v>
      </c>
      <c r="G407" s="1">
        <f t="shared" si="24"/>
        <v>2.4321165165644733E-2</v>
      </c>
      <c r="H407">
        <f t="shared" si="25"/>
        <v>2432.1165165644734</v>
      </c>
      <c r="I407">
        <f t="shared" si="26"/>
        <v>10876.755720476312</v>
      </c>
    </row>
    <row r="408" spans="1:9" x14ac:dyDescent="0.45">
      <c r="A408">
        <v>3.7869199331908021E-3</v>
      </c>
      <c r="B408">
        <f t="shared" si="29"/>
        <v>1.4340762580397829E-5</v>
      </c>
      <c r="E408">
        <f t="shared" si="27"/>
        <v>1.0660413905586296E-4</v>
      </c>
      <c r="F408">
        <f t="shared" si="28"/>
        <v>1.0324928041195395E-2</v>
      </c>
      <c r="G408" s="1">
        <f t="shared" si="24"/>
        <v>2.4005457695779296E-2</v>
      </c>
      <c r="H408">
        <f t="shared" si="25"/>
        <v>2400.5457695779296</v>
      </c>
      <c r="I408">
        <f t="shared" si="26"/>
        <v>10735.567047751594</v>
      </c>
    </row>
    <row r="409" spans="1:9" x14ac:dyDescent="0.45">
      <c r="A409">
        <v>-1.6590274753980339E-2</v>
      </c>
      <c r="B409">
        <f t="shared" si="29"/>
        <v>2.7523721641255737E-4</v>
      </c>
      <c r="E409">
        <f t="shared" si="27"/>
        <v>1.0199094985724531E-4</v>
      </c>
      <c r="F409">
        <f t="shared" si="28"/>
        <v>1.0099056879592535E-2</v>
      </c>
      <c r="G409" s="1">
        <f t="shared" ref="G409:G472" si="30">F409*$H$1</f>
        <v>2.3480307245052644E-2</v>
      </c>
      <c r="H409">
        <f t="shared" ref="H409:H472" si="31">G409*$H$2</f>
        <v>2348.0307245052645</v>
      </c>
      <c r="I409">
        <f t="shared" ref="I409:I472" si="32">H409*SQRT($H$3)</f>
        <v>10500.712626503706</v>
      </c>
    </row>
    <row r="410" spans="1:9" x14ac:dyDescent="0.45">
      <c r="A410">
        <v>-1.416528903064318E-2</v>
      </c>
      <c r="B410">
        <f t="shared" si="29"/>
        <v>2.0065541332166002E-4</v>
      </c>
      <c r="E410">
        <f t="shared" ref="E410:E473" si="33">(1-$E$1)*SUMPRODUCT($D$2:$D$151,B260:B409)</f>
        <v>1.1065268921789068E-4</v>
      </c>
      <c r="F410">
        <f t="shared" ref="F410:F473" si="34">SQRT(E410)</f>
        <v>1.0519158199109408E-2</v>
      </c>
      <c r="G410" s="1">
        <f t="shared" si="30"/>
        <v>2.4457042812929375E-2</v>
      </c>
      <c r="H410">
        <f t="shared" si="31"/>
        <v>2445.7042812929376</v>
      </c>
      <c r="I410">
        <f t="shared" si="32"/>
        <v>10937.522051666552</v>
      </c>
    </row>
    <row r="411" spans="1:9" x14ac:dyDescent="0.45">
      <c r="A411">
        <v>-5.2511154535750393E-3</v>
      </c>
      <c r="B411">
        <f t="shared" si="29"/>
        <v>2.7574213506774591E-5</v>
      </c>
      <c r="E411">
        <f t="shared" si="33"/>
        <v>1.1515056101796645E-4</v>
      </c>
      <c r="F411">
        <f t="shared" si="34"/>
        <v>1.0730822942252213E-2</v>
      </c>
      <c r="G411" s="1">
        <f t="shared" si="30"/>
        <v>2.4949163340736397E-2</v>
      </c>
      <c r="H411">
        <f t="shared" si="31"/>
        <v>2494.9163340736395</v>
      </c>
      <c r="I411">
        <f t="shared" si="32"/>
        <v>11157.605042326466</v>
      </c>
    </row>
    <row r="412" spans="1:9" x14ac:dyDescent="0.45">
      <c r="A412">
        <v>-9.3213202490005642E-3</v>
      </c>
      <c r="B412">
        <f t="shared" si="29"/>
        <v>8.6887011184427946E-5</v>
      </c>
      <c r="E412">
        <f t="shared" si="33"/>
        <v>1.1077167084927849E-4</v>
      </c>
      <c r="F412">
        <f t="shared" si="34"/>
        <v>1.0524812152683699E-2</v>
      </c>
      <c r="G412" s="1">
        <f t="shared" si="30"/>
        <v>2.4470188254989603E-2</v>
      </c>
      <c r="H412">
        <f t="shared" si="31"/>
        <v>2447.0188254989603</v>
      </c>
      <c r="I412">
        <f t="shared" si="32"/>
        <v>10943.400872074742</v>
      </c>
    </row>
    <row r="413" spans="1:9" x14ac:dyDescent="0.45">
      <c r="A413">
        <v>-2.2887252271175385E-2</v>
      </c>
      <c r="B413">
        <f t="shared" si="29"/>
        <v>5.238263165244228E-4</v>
      </c>
      <c r="E413">
        <f t="shared" si="33"/>
        <v>1.0957740645749766E-4</v>
      </c>
      <c r="F413">
        <f t="shared" si="34"/>
        <v>1.0467922738418433E-2</v>
      </c>
      <c r="G413" s="1">
        <f t="shared" si="30"/>
        <v>2.4337920366822859E-2</v>
      </c>
      <c r="H413">
        <f t="shared" si="31"/>
        <v>2433.7920366822859</v>
      </c>
      <c r="I413">
        <f t="shared" si="32"/>
        <v>10884.248874238507</v>
      </c>
    </row>
    <row r="414" spans="1:9" x14ac:dyDescent="0.45">
      <c r="A414">
        <v>-3.4520326153142378E-3</v>
      </c>
      <c r="B414">
        <f t="shared" si="29"/>
        <v>1.1916529177193256E-5</v>
      </c>
      <c r="E414">
        <f t="shared" si="33"/>
        <v>1.3028762382471482E-4</v>
      </c>
      <c r="F414">
        <f t="shared" si="34"/>
        <v>1.1414360421185009E-2</v>
      </c>
      <c r="G414" s="1">
        <f t="shared" si="30"/>
        <v>2.6538387979255149E-2</v>
      </c>
      <c r="H414">
        <f t="shared" si="31"/>
        <v>2653.8387979255149</v>
      </c>
      <c r="I414">
        <f t="shared" si="32"/>
        <v>11868.327906975559</v>
      </c>
    </row>
    <row r="415" spans="1:9" x14ac:dyDescent="0.45">
      <c r="A415">
        <v>-6.4648020270396955E-4</v>
      </c>
      <c r="B415">
        <f t="shared" si="29"/>
        <v>4.1793665248816555E-7</v>
      </c>
      <c r="E415">
        <f t="shared" si="33"/>
        <v>1.243686197769474E-4</v>
      </c>
      <c r="F415">
        <f t="shared" si="34"/>
        <v>1.1152067959663239E-2</v>
      </c>
      <c r="G415" s="1">
        <f t="shared" si="30"/>
        <v>2.5928558006217035E-2</v>
      </c>
      <c r="H415">
        <f t="shared" si="31"/>
        <v>2592.8558006217036</v>
      </c>
      <c r="I415">
        <f t="shared" si="32"/>
        <v>11595.603652089541</v>
      </c>
    </row>
    <row r="416" spans="1:9" x14ac:dyDescent="0.45">
      <c r="A416">
        <v>1.1714928405126557E-2</v>
      </c>
      <c r="B416">
        <f t="shared" si="29"/>
        <v>1.3723954753724104E-4</v>
      </c>
      <c r="E416">
        <f t="shared" si="33"/>
        <v>1.181707966438764E-4</v>
      </c>
      <c r="F416">
        <f t="shared" si="34"/>
        <v>1.0870639201255665E-2</v>
      </c>
      <c r="G416" s="1">
        <f t="shared" si="30"/>
        <v>2.5274236142919421E-2</v>
      </c>
      <c r="H416">
        <f t="shared" si="31"/>
        <v>2527.4236142919422</v>
      </c>
      <c r="I416">
        <f t="shared" si="32"/>
        <v>11302.982018989984</v>
      </c>
    </row>
    <row r="417" spans="1:9" x14ac:dyDescent="0.45">
      <c r="A417">
        <v>-7.4271270023018587E-3</v>
      </c>
      <c r="B417">
        <f t="shared" si="29"/>
        <v>5.5162215508321392E-5</v>
      </c>
      <c r="E417">
        <f t="shared" si="33"/>
        <v>1.1911880866616689E-4</v>
      </c>
      <c r="F417">
        <f t="shared" si="34"/>
        <v>1.0914156342391604E-2</v>
      </c>
      <c r="G417" s="1">
        <f t="shared" si="30"/>
        <v>2.537541349606048E-2</v>
      </c>
      <c r="H417">
        <f t="shared" si="31"/>
        <v>2537.5413496060482</v>
      </c>
      <c r="I417">
        <f t="shared" si="32"/>
        <v>11348.229906871367</v>
      </c>
    </row>
    <row r="418" spans="1:9" x14ac:dyDescent="0.45">
      <c r="A418">
        <v>5.1390543376328424E-3</v>
      </c>
      <c r="B418">
        <f t="shared" si="29"/>
        <v>2.6409879485142934E-5</v>
      </c>
      <c r="E418">
        <f t="shared" si="33"/>
        <v>1.1591832779118906E-4</v>
      </c>
      <c r="F418">
        <f t="shared" si="34"/>
        <v>1.0766537409547652E-2</v>
      </c>
      <c r="G418" s="1">
        <f t="shared" si="30"/>
        <v>2.5032199477198293E-2</v>
      </c>
      <c r="H418">
        <f t="shared" si="31"/>
        <v>2503.2199477198292</v>
      </c>
      <c r="I418">
        <f t="shared" si="32"/>
        <v>11194.739931470016</v>
      </c>
    </row>
    <row r="419" spans="1:9" x14ac:dyDescent="0.45">
      <c r="A419">
        <v>2.8968543119844981E-3</v>
      </c>
      <c r="B419">
        <f t="shared" si="29"/>
        <v>8.3917649048631795E-6</v>
      </c>
      <c r="E419">
        <f t="shared" si="33"/>
        <v>1.114425751700029E-4</v>
      </c>
      <c r="F419">
        <f t="shared" si="34"/>
        <v>1.0556636546268082E-2</v>
      </c>
      <c r="G419" s="1">
        <f t="shared" si="30"/>
        <v>2.4544179970073292E-2</v>
      </c>
      <c r="H419">
        <f t="shared" si="31"/>
        <v>2454.4179970073292</v>
      </c>
      <c r="I419">
        <f t="shared" si="32"/>
        <v>10976.490973014528</v>
      </c>
    </row>
    <row r="420" spans="1:9" x14ac:dyDescent="0.45">
      <c r="A420">
        <v>8.2295173342572525E-3</v>
      </c>
      <c r="B420">
        <f t="shared" si="29"/>
        <v>6.7724955554840594E-5</v>
      </c>
      <c r="E420">
        <f t="shared" si="33"/>
        <v>1.0628618220096152E-4</v>
      </c>
      <c r="F420">
        <f t="shared" si="34"/>
        <v>1.030951900919541E-2</v>
      </c>
      <c r="G420" s="1">
        <f t="shared" si="30"/>
        <v>2.3969631696379331E-2</v>
      </c>
      <c r="H420">
        <f t="shared" si="31"/>
        <v>2396.9631696379329</v>
      </c>
      <c r="I420">
        <f t="shared" si="32"/>
        <v>10719.545173747556</v>
      </c>
    </row>
    <row r="421" spans="1:9" x14ac:dyDescent="0.45">
      <c r="A421">
        <v>-6.1476043811126146E-3</v>
      </c>
      <c r="B421">
        <f t="shared" si="29"/>
        <v>3.7793039626675011E-5</v>
      </c>
      <c r="E421">
        <f t="shared" si="33"/>
        <v>1.0435739199581914E-4</v>
      </c>
      <c r="F421">
        <f t="shared" si="34"/>
        <v>1.0215546583312082E-2</v>
      </c>
      <c r="G421" s="1">
        <f t="shared" si="30"/>
        <v>2.375114580620059E-2</v>
      </c>
      <c r="H421">
        <f t="shared" si="31"/>
        <v>2375.1145806200589</v>
      </c>
      <c r="I421">
        <f t="shared" si="32"/>
        <v>10621.835313234713</v>
      </c>
    </row>
    <row r="422" spans="1:9" x14ac:dyDescent="0.45">
      <c r="A422">
        <v>9.9957787824678235E-3</v>
      </c>
      <c r="B422">
        <f t="shared" si="29"/>
        <v>9.991559346803392E-5</v>
      </c>
      <c r="E422">
        <f t="shared" si="33"/>
        <v>1.0102819771835067E-4</v>
      </c>
      <c r="F422">
        <f t="shared" si="34"/>
        <v>1.0051278412139954E-2</v>
      </c>
      <c r="G422" s="1">
        <f t="shared" si="30"/>
        <v>2.3369222308225395E-2</v>
      </c>
      <c r="H422">
        <f t="shared" si="31"/>
        <v>2336.9222308225394</v>
      </c>
      <c r="I422">
        <f t="shared" si="32"/>
        <v>10451.033932499306</v>
      </c>
    </row>
    <row r="423" spans="1:9" x14ac:dyDescent="0.45">
      <c r="A423">
        <v>-2.2566837287740782E-5</v>
      </c>
      <c r="B423">
        <f t="shared" si="29"/>
        <v>5.0926214517136773E-10</v>
      </c>
      <c r="E423">
        <f t="shared" si="33"/>
        <v>1.009687735590227E-4</v>
      </c>
      <c r="F423">
        <f t="shared" si="34"/>
        <v>1.0048321927517187E-2</v>
      </c>
      <c r="G423" s="1">
        <f t="shared" si="30"/>
        <v>2.336234848147746E-2</v>
      </c>
      <c r="H423">
        <f t="shared" si="31"/>
        <v>2336.2348481477461</v>
      </c>
      <c r="I423">
        <f t="shared" si="32"/>
        <v>10447.959863724518</v>
      </c>
    </row>
    <row r="424" spans="1:9" x14ac:dyDescent="0.45">
      <c r="A424">
        <v>9.2483332991832867E-3</v>
      </c>
      <c r="B424">
        <f t="shared" si="29"/>
        <v>8.5531668812782423E-5</v>
      </c>
      <c r="E424">
        <f t="shared" si="33"/>
        <v>9.5919654590716037E-5</v>
      </c>
      <c r="F424">
        <f t="shared" si="34"/>
        <v>9.7938580033976423E-3</v>
      </c>
      <c r="G424" s="1">
        <f t="shared" si="30"/>
        <v>2.2770719857899521E-2</v>
      </c>
      <c r="H424">
        <f t="shared" si="31"/>
        <v>2277.0719857899521</v>
      </c>
      <c r="I424">
        <f t="shared" si="32"/>
        <v>10183.375499773536</v>
      </c>
    </row>
    <row r="425" spans="1:9" x14ac:dyDescent="0.45">
      <c r="A425">
        <v>-8.1014036368287634E-3</v>
      </c>
      <c r="B425">
        <f t="shared" si="29"/>
        <v>6.5632740886822308E-5</v>
      </c>
      <c r="E425">
        <f t="shared" si="33"/>
        <v>9.5399771393672977E-5</v>
      </c>
      <c r="F425">
        <f t="shared" si="34"/>
        <v>9.7672806550069494E-3</v>
      </c>
      <c r="G425" s="1">
        <f t="shared" si="30"/>
        <v>2.2708927522891158E-2</v>
      </c>
      <c r="H425">
        <f t="shared" si="31"/>
        <v>2270.8927522891158</v>
      </c>
      <c r="I425">
        <f t="shared" si="32"/>
        <v>10155.741127460109</v>
      </c>
    </row>
    <row r="426" spans="1:9" x14ac:dyDescent="0.45">
      <c r="A426">
        <v>6.3465904531767592E-3</v>
      </c>
      <c r="B426">
        <f t="shared" si="29"/>
        <v>4.0279210380354385E-5</v>
      </c>
      <c r="E426">
        <f t="shared" si="33"/>
        <v>9.3904473338787491E-5</v>
      </c>
      <c r="F426">
        <f t="shared" si="34"/>
        <v>9.6904320511929445E-3</v>
      </c>
      <c r="G426" s="1">
        <f t="shared" si="30"/>
        <v>2.2530254519023598E-2</v>
      </c>
      <c r="H426">
        <f t="shared" si="31"/>
        <v>2253.0254519023597</v>
      </c>
      <c r="I426">
        <f t="shared" si="32"/>
        <v>10075.836130981719</v>
      </c>
    </row>
    <row r="427" spans="1:9" x14ac:dyDescent="0.45">
      <c r="A427">
        <v>-4.7466073738178238E-3</v>
      </c>
      <c r="B427">
        <f t="shared" si="29"/>
        <v>2.2530281561181738E-5</v>
      </c>
      <c r="E427">
        <f t="shared" si="33"/>
        <v>9.1215266229751203E-5</v>
      </c>
      <c r="F427">
        <f t="shared" si="34"/>
        <v>9.5506683656041164E-3</v>
      </c>
      <c r="G427" s="1">
        <f t="shared" si="30"/>
        <v>2.2205303950029572E-2</v>
      </c>
      <c r="H427">
        <f t="shared" si="31"/>
        <v>2220.530395002957</v>
      </c>
      <c r="I427">
        <f t="shared" si="32"/>
        <v>9930.5138186621425</v>
      </c>
    </row>
    <row r="428" spans="1:9" x14ac:dyDescent="0.45">
      <c r="A428">
        <v>1.2663440429605544E-2</v>
      </c>
      <c r="B428">
        <f t="shared" si="29"/>
        <v>1.6036272351416822E-4</v>
      </c>
      <c r="E428">
        <f t="shared" si="33"/>
        <v>8.7780201133052382E-5</v>
      </c>
      <c r="F428">
        <f t="shared" si="34"/>
        <v>9.3691088761446457E-3</v>
      </c>
      <c r="G428" s="1">
        <f t="shared" si="30"/>
        <v>2.1783178137036303E-2</v>
      </c>
      <c r="H428">
        <f t="shared" si="31"/>
        <v>2178.3178137036302</v>
      </c>
      <c r="I428">
        <f t="shared" si="32"/>
        <v>9741.7334160800801</v>
      </c>
    </row>
    <row r="429" spans="1:9" x14ac:dyDescent="0.45">
      <c r="A429">
        <v>-6.8187887336534914E-3</v>
      </c>
      <c r="B429">
        <f t="shared" si="29"/>
        <v>4.6495879794199781E-5</v>
      </c>
      <c r="E429">
        <f t="shared" si="33"/>
        <v>9.1406937229765624E-5</v>
      </c>
      <c r="F429">
        <f t="shared" si="34"/>
        <v>9.5606975284110735E-3</v>
      </c>
      <c r="G429" s="1">
        <f t="shared" si="30"/>
        <v>2.2228621753555746E-2</v>
      </c>
      <c r="H429">
        <f t="shared" si="31"/>
        <v>2222.8621753555744</v>
      </c>
      <c r="I429">
        <f t="shared" si="32"/>
        <v>9940.9418574162446</v>
      </c>
    </row>
    <row r="430" spans="1:9" x14ac:dyDescent="0.45">
      <c r="A430">
        <v>-6.1042328525218181E-3</v>
      </c>
      <c r="B430">
        <f t="shared" si="29"/>
        <v>3.7261658717806654E-5</v>
      </c>
      <c r="E430">
        <f t="shared" si="33"/>
        <v>8.9160257165483414E-5</v>
      </c>
      <c r="F430">
        <f t="shared" si="34"/>
        <v>9.4424709247888823E-3</v>
      </c>
      <c r="G430" s="1">
        <f t="shared" si="30"/>
        <v>2.1953744900134152E-2</v>
      </c>
      <c r="H430">
        <f t="shared" si="31"/>
        <v>2195.3744900134152</v>
      </c>
      <c r="I430">
        <f t="shared" si="32"/>
        <v>9818.0131914778594</v>
      </c>
    </row>
    <row r="431" spans="1:9" x14ac:dyDescent="0.45">
      <c r="A431">
        <v>-1.2867985788034275E-3</v>
      </c>
      <c r="B431">
        <f t="shared" si="29"/>
        <v>1.6558505824105209E-6</v>
      </c>
      <c r="E431">
        <f t="shared" si="33"/>
        <v>8.6554289186662286E-5</v>
      </c>
      <c r="F431">
        <f t="shared" si="34"/>
        <v>9.3034557658249924E-3</v>
      </c>
      <c r="G431" s="1">
        <f t="shared" si="30"/>
        <v>2.1630534655543109E-2</v>
      </c>
      <c r="H431">
        <f t="shared" si="31"/>
        <v>2163.0534655543111</v>
      </c>
      <c r="I431">
        <f t="shared" si="32"/>
        <v>9673.4691758918798</v>
      </c>
    </row>
    <row r="432" spans="1:9" x14ac:dyDescent="0.45">
      <c r="A432">
        <v>-6.3774905356694944E-3</v>
      </c>
      <c r="B432">
        <f t="shared" si="29"/>
        <v>4.0672385532553974E-5</v>
      </c>
      <c r="E432">
        <f t="shared" si="33"/>
        <v>8.2308784518162956E-5</v>
      </c>
      <c r="F432">
        <f t="shared" si="34"/>
        <v>9.0724188901396604E-3</v>
      </c>
      <c r="G432" s="1">
        <f t="shared" si="30"/>
        <v>2.1093373919574714E-2</v>
      </c>
      <c r="H432">
        <f t="shared" si="31"/>
        <v>2109.3373919574715</v>
      </c>
      <c r="I432">
        <f t="shared" si="32"/>
        <v>9433.2435917980492</v>
      </c>
    </row>
    <row r="433" spans="1:9" x14ac:dyDescent="0.45">
      <c r="A433">
        <v>-2.2083077055867761E-2</v>
      </c>
      <c r="B433">
        <f t="shared" si="29"/>
        <v>4.8766229225539315E-4</v>
      </c>
      <c r="E433">
        <f t="shared" si="33"/>
        <v>8.0226515423692063E-5</v>
      </c>
      <c r="F433">
        <f t="shared" si="34"/>
        <v>8.9569255564446917E-3</v>
      </c>
      <c r="G433" s="1">
        <f t="shared" si="30"/>
        <v>2.082485191873391E-2</v>
      </c>
      <c r="H433">
        <f t="shared" si="31"/>
        <v>2082.4851918733912</v>
      </c>
      <c r="I433">
        <f t="shared" si="32"/>
        <v>9313.1569023311913</v>
      </c>
    </row>
    <row r="434" spans="1:9" x14ac:dyDescent="0.45">
      <c r="A434">
        <v>2.327105903532356E-2</v>
      </c>
      <c r="B434">
        <f t="shared" si="29"/>
        <v>5.415421886255143E-4</v>
      </c>
      <c r="E434">
        <f t="shared" si="33"/>
        <v>1.0059479163425978E-4</v>
      </c>
      <c r="F434">
        <f t="shared" si="34"/>
        <v>1.0029695490604876E-2</v>
      </c>
      <c r="G434" s="1">
        <f t="shared" si="30"/>
        <v>2.3319042015656339E-2</v>
      </c>
      <c r="H434">
        <f t="shared" si="31"/>
        <v>2331.9042015656337</v>
      </c>
      <c r="I434">
        <f t="shared" si="32"/>
        <v>10428.592623436258</v>
      </c>
    </row>
    <row r="435" spans="1:9" x14ac:dyDescent="0.45">
      <c r="A435">
        <v>-1.1781139619415626E-3</v>
      </c>
      <c r="B435">
        <f t="shared" si="29"/>
        <v>1.3879525073216456E-6</v>
      </c>
      <c r="E435">
        <f t="shared" si="33"/>
        <v>1.2263718267824182E-4</v>
      </c>
      <c r="F435">
        <f t="shared" si="34"/>
        <v>1.1074167358236998E-2</v>
      </c>
      <c r="G435" s="1">
        <f t="shared" si="30"/>
        <v>2.5747439107901022E-2</v>
      </c>
      <c r="H435">
        <f t="shared" si="31"/>
        <v>2574.7439107901023</v>
      </c>
      <c r="I435">
        <f t="shared" si="32"/>
        <v>11514.604818360647</v>
      </c>
    </row>
    <row r="436" spans="1:9" x14ac:dyDescent="0.45">
      <c r="A436">
        <v>-1.151072410721099E-2</v>
      </c>
      <c r="B436">
        <f t="shared" si="29"/>
        <v>1.3249676947232823E-4</v>
      </c>
      <c r="E436">
        <f t="shared" si="33"/>
        <v>1.1657458571253736E-4</v>
      </c>
      <c r="F436">
        <f t="shared" si="34"/>
        <v>1.0796971136042615E-2</v>
      </c>
      <c r="G436" s="1">
        <f t="shared" si="30"/>
        <v>2.5102957891299082E-2</v>
      </c>
      <c r="H436">
        <f t="shared" si="31"/>
        <v>2510.2957891299084</v>
      </c>
      <c r="I436">
        <f t="shared" si="32"/>
        <v>11226.384056251905</v>
      </c>
    </row>
    <row r="437" spans="1:9" x14ac:dyDescent="0.45">
      <c r="A437">
        <v>5.6209273679996841E-3</v>
      </c>
      <c r="B437">
        <f t="shared" si="29"/>
        <v>3.1594824476327857E-5</v>
      </c>
      <c r="E437">
        <f t="shared" si="33"/>
        <v>1.173703344020346E-4</v>
      </c>
      <c r="F437">
        <f t="shared" si="34"/>
        <v>1.0833759015320334E-2</v>
      </c>
      <c r="G437" s="1">
        <f t="shared" si="30"/>
        <v>2.5188489710619776E-2</v>
      </c>
      <c r="H437">
        <f t="shared" si="31"/>
        <v>2518.8489710619774</v>
      </c>
      <c r="I437">
        <f t="shared" si="32"/>
        <v>11264.635048699965</v>
      </c>
    </row>
    <row r="438" spans="1:9" x14ac:dyDescent="0.45">
      <c r="A438">
        <v>-5.8690375226433389E-3</v>
      </c>
      <c r="B438">
        <f t="shared" si="29"/>
        <v>3.4445601442195458E-5</v>
      </c>
      <c r="E438">
        <f t="shared" si="33"/>
        <v>1.1307812104385822E-4</v>
      </c>
      <c r="F438">
        <f t="shared" si="34"/>
        <v>1.0633819682684967E-2</v>
      </c>
      <c r="G438" s="1">
        <f t="shared" si="30"/>
        <v>2.472363076224255E-2</v>
      </c>
      <c r="H438">
        <f t="shared" si="31"/>
        <v>2472.3630762242551</v>
      </c>
      <c r="I438">
        <f t="shared" si="32"/>
        <v>11056.743806995857</v>
      </c>
    </row>
    <row r="439" spans="1:9" x14ac:dyDescent="0.45">
      <c r="A439">
        <v>4.4346506911097094E-3</v>
      </c>
      <c r="B439">
        <f t="shared" si="29"/>
        <v>1.9666126752159825E-5</v>
      </c>
      <c r="E439">
        <f t="shared" si="33"/>
        <v>1.0914577517771755E-4</v>
      </c>
      <c r="F439">
        <f t="shared" si="34"/>
        <v>1.0447285541121079E-2</v>
      </c>
      <c r="G439" s="1">
        <f t="shared" si="30"/>
        <v>2.4289938883106512E-2</v>
      </c>
      <c r="H439">
        <f t="shared" si="31"/>
        <v>2428.9938883106511</v>
      </c>
      <c r="I439">
        <f t="shared" si="32"/>
        <v>10862.790902388295</v>
      </c>
    </row>
    <row r="440" spans="1:9" x14ac:dyDescent="0.45">
      <c r="A440">
        <v>-3.5923903851653449E-4</v>
      </c>
      <c r="B440">
        <f t="shared" si="29"/>
        <v>1.2905268679428414E-7</v>
      </c>
      <c r="E440">
        <f t="shared" si="33"/>
        <v>1.0467135999683529E-4</v>
      </c>
      <c r="F440">
        <f t="shared" si="34"/>
        <v>1.0230902208350703E-2</v>
      </c>
      <c r="G440" s="1">
        <f t="shared" si="30"/>
        <v>2.3786847634415388E-2</v>
      </c>
      <c r="H440">
        <f t="shared" si="31"/>
        <v>2378.684763441539</v>
      </c>
      <c r="I440">
        <f t="shared" si="32"/>
        <v>10637.801656196576</v>
      </c>
    </row>
    <row r="441" spans="1:9" x14ac:dyDescent="0.45">
      <c r="A441">
        <v>7.7877984949736856E-3</v>
      </c>
      <c r="B441">
        <f t="shared" si="29"/>
        <v>6.0649805398314401E-5</v>
      </c>
      <c r="E441">
        <f t="shared" si="33"/>
        <v>9.9430947731326321E-5</v>
      </c>
      <c r="F441">
        <f t="shared" si="34"/>
        <v>9.9715067934252697E-3</v>
      </c>
      <c r="G441" s="1">
        <f t="shared" si="30"/>
        <v>2.3183753294713755E-2</v>
      </c>
      <c r="H441">
        <f t="shared" si="31"/>
        <v>2318.3753294713756</v>
      </c>
      <c r="I441">
        <f t="shared" si="32"/>
        <v>10368.089668112936</v>
      </c>
    </row>
    <row r="442" spans="1:9" x14ac:dyDescent="0.45">
      <c r="A442">
        <v>-1.9461458578007296E-2</v>
      </c>
      <c r="B442">
        <f t="shared" si="29"/>
        <v>3.7874836998349375E-4</v>
      </c>
      <c r="E442">
        <f t="shared" si="33"/>
        <v>9.7491821321659533E-5</v>
      </c>
      <c r="F442">
        <f t="shared" si="34"/>
        <v>9.87379467690409E-3</v>
      </c>
      <c r="G442" s="1">
        <f t="shared" si="30"/>
        <v>2.2956572623802012E-2</v>
      </c>
      <c r="H442">
        <f t="shared" si="31"/>
        <v>2295.6572623802012</v>
      </c>
      <c r="I442">
        <f t="shared" si="32"/>
        <v>10266.491383446402</v>
      </c>
    </row>
    <row r="443" spans="1:9" x14ac:dyDescent="0.45">
      <c r="A443">
        <v>-4.0487748265150003E-3</v>
      </c>
      <c r="B443">
        <f t="shared" si="29"/>
        <v>1.6392577595821573E-5</v>
      </c>
      <c r="E443">
        <f t="shared" si="33"/>
        <v>1.1155425245893091E-4</v>
      </c>
      <c r="F443">
        <f t="shared" si="34"/>
        <v>1.0561924656942546E-2</v>
      </c>
      <c r="G443" s="1">
        <f t="shared" si="30"/>
        <v>2.4556474827391421E-2</v>
      </c>
      <c r="H443">
        <f t="shared" si="31"/>
        <v>2455.6474827391421</v>
      </c>
      <c r="I443">
        <f t="shared" si="32"/>
        <v>10981.989400361927</v>
      </c>
    </row>
    <row r="444" spans="1:9" x14ac:dyDescent="0.45">
      <c r="A444">
        <v>-2.3882307687017601E-3</v>
      </c>
      <c r="B444">
        <f t="shared" si="29"/>
        <v>5.7036462045737998E-6</v>
      </c>
      <c r="E444">
        <f t="shared" si="33"/>
        <v>1.0679602839750037E-4</v>
      </c>
      <c r="F444">
        <f t="shared" si="34"/>
        <v>1.0334216390104302E-2</v>
      </c>
      <c r="G444" s="1">
        <f t="shared" si="30"/>
        <v>2.4027053106992501E-2</v>
      </c>
      <c r="H444">
        <f t="shared" si="31"/>
        <v>2402.7053106992503</v>
      </c>
      <c r="I444">
        <f t="shared" si="32"/>
        <v>10745.224809246552</v>
      </c>
    </row>
    <row r="445" spans="1:9" x14ac:dyDescent="0.45">
      <c r="A445">
        <v>-8.5250576375983655E-3</v>
      </c>
      <c r="B445">
        <f t="shared" si="29"/>
        <v>7.2676607724374222E-5</v>
      </c>
      <c r="E445">
        <f t="shared" si="33"/>
        <v>1.0174130319111258E-4</v>
      </c>
      <c r="F445">
        <f t="shared" si="34"/>
        <v>1.0086689406892262E-2</v>
      </c>
      <c r="G445" s="1">
        <f t="shared" si="30"/>
        <v>2.345155287102451E-2</v>
      </c>
      <c r="H445">
        <f t="shared" si="31"/>
        <v>2345.155287102451</v>
      </c>
      <c r="I445">
        <f t="shared" si="32"/>
        <v>10487.853279508234</v>
      </c>
    </row>
    <row r="446" spans="1:9" x14ac:dyDescent="0.45">
      <c r="A446">
        <v>-4.6688342081324663E-3</v>
      </c>
      <c r="B446">
        <f t="shared" si="29"/>
        <v>2.1798012863027914E-5</v>
      </c>
      <c r="E446">
        <f t="shared" si="33"/>
        <v>1.0028660222492227E-4</v>
      </c>
      <c r="F446">
        <f t="shared" si="34"/>
        <v>1.0014319858328985E-2</v>
      </c>
      <c r="G446" s="1">
        <f t="shared" si="30"/>
        <v>2.3283293670614894E-2</v>
      </c>
      <c r="H446">
        <f t="shared" si="31"/>
        <v>2328.3293670614894</v>
      </c>
      <c r="I446">
        <f t="shared" si="32"/>
        <v>10412.605477517101</v>
      </c>
    </row>
    <row r="447" spans="1:9" x14ac:dyDescent="0.45">
      <c r="A447">
        <v>3.7803488339704927E-3</v>
      </c>
      <c r="B447">
        <f t="shared" si="29"/>
        <v>1.4291037306502064E-5</v>
      </c>
      <c r="E447">
        <f t="shared" si="33"/>
        <v>9.6359473991065029E-5</v>
      </c>
      <c r="F447">
        <f t="shared" si="34"/>
        <v>9.8162861608178994E-3</v>
      </c>
      <c r="G447" s="1">
        <f t="shared" si="30"/>
        <v>2.2822865323901619E-2</v>
      </c>
      <c r="H447">
        <f t="shared" si="31"/>
        <v>2282.2865323901619</v>
      </c>
      <c r="I447">
        <f t="shared" si="32"/>
        <v>10206.695661113356</v>
      </c>
    </row>
    <row r="448" spans="1:9" x14ac:dyDescent="0.45">
      <c r="A448">
        <v>2.1077539713587612E-4</v>
      </c>
      <c r="B448">
        <f t="shared" si="29"/>
        <v>4.4426268037786295E-8</v>
      </c>
      <c r="E448">
        <f t="shared" si="33"/>
        <v>9.2256011301269645E-5</v>
      </c>
      <c r="F448">
        <f t="shared" si="34"/>
        <v>9.6049992868958434E-3</v>
      </c>
      <c r="G448" s="1">
        <f t="shared" si="30"/>
        <v>2.2331623342032838E-2</v>
      </c>
      <c r="H448">
        <f t="shared" si="31"/>
        <v>2233.162334203284</v>
      </c>
      <c r="I448">
        <f t="shared" si="32"/>
        <v>9987.0055681412941</v>
      </c>
    </row>
    <row r="449" spans="1:9" x14ac:dyDescent="0.45">
      <c r="A449">
        <v>-1.2851614883402362E-2</v>
      </c>
      <c r="B449">
        <f t="shared" si="29"/>
        <v>1.6516400511128911E-4</v>
      </c>
      <c r="E449">
        <f t="shared" si="33"/>
        <v>8.7644350009721743E-5</v>
      </c>
      <c r="F449">
        <f t="shared" si="34"/>
        <v>9.3618561199006762E-3</v>
      </c>
      <c r="G449" s="1">
        <f t="shared" si="30"/>
        <v>2.1766315478769074E-2</v>
      </c>
      <c r="H449">
        <f t="shared" si="31"/>
        <v>2176.6315478769075</v>
      </c>
      <c r="I449">
        <f t="shared" si="32"/>
        <v>9734.1922060467059</v>
      </c>
    </row>
    <row r="450" spans="1:9" x14ac:dyDescent="0.45">
      <c r="A450">
        <v>-8.3644408732652664E-3</v>
      </c>
      <c r="B450">
        <f t="shared" si="29"/>
        <v>6.9963871122350613E-5</v>
      </c>
      <c r="E450">
        <f t="shared" si="33"/>
        <v>9.1518702820483547E-5</v>
      </c>
      <c r="F450">
        <f t="shared" si="34"/>
        <v>9.5665407969904963E-3</v>
      </c>
      <c r="G450" s="1">
        <f t="shared" si="30"/>
        <v>2.2242207353002905E-2</v>
      </c>
      <c r="H450">
        <f t="shared" si="31"/>
        <v>2224.2207353002905</v>
      </c>
      <c r="I450">
        <f t="shared" si="32"/>
        <v>9947.0175221920308</v>
      </c>
    </row>
    <row r="451" spans="1:9" x14ac:dyDescent="0.45">
      <c r="A451">
        <v>1.9262188288848847E-3</v>
      </c>
      <c r="B451">
        <f t="shared" ref="B451:B514" si="35">A451^2</f>
        <v>3.7103189767506568E-6</v>
      </c>
      <c r="E451">
        <f t="shared" si="33"/>
        <v>9.0439654198992659E-5</v>
      </c>
      <c r="F451">
        <f t="shared" si="34"/>
        <v>9.5099765614323501E-3</v>
      </c>
      <c r="G451" s="1">
        <f t="shared" si="30"/>
        <v>2.2110695505330215E-2</v>
      </c>
      <c r="H451">
        <f t="shared" si="31"/>
        <v>2211.0695505330214</v>
      </c>
      <c r="I451">
        <f t="shared" si="32"/>
        <v>9888.2036359434842</v>
      </c>
    </row>
    <row r="452" spans="1:9" x14ac:dyDescent="0.45">
      <c r="A452">
        <v>2.3180291464086622E-2</v>
      </c>
      <c r="B452">
        <f t="shared" si="35"/>
        <v>5.3732591236000716E-4</v>
      </c>
      <c r="E452">
        <f t="shared" si="33"/>
        <v>8.6101397139254609E-5</v>
      </c>
      <c r="F452">
        <f t="shared" si="34"/>
        <v>9.2790838523668165E-3</v>
      </c>
      <c r="G452" s="1">
        <f t="shared" si="30"/>
        <v>2.157386995675285E-2</v>
      </c>
      <c r="H452">
        <f t="shared" si="31"/>
        <v>2157.3869956752851</v>
      </c>
      <c r="I452">
        <f t="shared" si="32"/>
        <v>9648.1279522079658</v>
      </c>
    </row>
    <row r="453" spans="1:9" x14ac:dyDescent="0.45">
      <c r="A453">
        <v>1.2303303265071008E-2</v>
      </c>
      <c r="B453">
        <f t="shared" si="35"/>
        <v>1.5137127123230693E-4</v>
      </c>
      <c r="E453">
        <f t="shared" si="33"/>
        <v>1.0866251887128327E-4</v>
      </c>
      <c r="F453">
        <f t="shared" si="34"/>
        <v>1.042413156436944E-2</v>
      </c>
      <c r="G453" s="1">
        <f t="shared" si="30"/>
        <v>2.4236105887158948E-2</v>
      </c>
      <c r="H453">
        <f t="shared" si="31"/>
        <v>2423.6105887158947</v>
      </c>
      <c r="I453">
        <f t="shared" si="32"/>
        <v>10838.71605471405</v>
      </c>
    </row>
    <row r="454" spans="1:9" x14ac:dyDescent="0.45">
      <c r="A454">
        <v>2.9687362257391214E-2</v>
      </c>
      <c r="B454">
        <f t="shared" si="35"/>
        <v>8.8133947780157638E-4</v>
      </c>
      <c r="E454">
        <f t="shared" si="33"/>
        <v>1.107961547164914E-4</v>
      </c>
      <c r="F454">
        <f t="shared" si="34"/>
        <v>1.0525975238261365E-2</v>
      </c>
      <c r="G454" s="1">
        <f t="shared" si="30"/>
        <v>2.4472892428957678E-2</v>
      </c>
      <c r="H454">
        <f t="shared" si="31"/>
        <v>2447.289242895768</v>
      </c>
      <c r="I454">
        <f t="shared" si="32"/>
        <v>10944.610215437864</v>
      </c>
    </row>
    <row r="455" spans="1:9" x14ac:dyDescent="0.45">
      <c r="A455">
        <v>-1.7338243196718395E-2</v>
      </c>
      <c r="B455">
        <f t="shared" si="35"/>
        <v>3.0061467714855169E-4</v>
      </c>
      <c r="E455">
        <f t="shared" si="33"/>
        <v>1.4932330763520497E-4</v>
      </c>
      <c r="F455">
        <f t="shared" si="34"/>
        <v>1.2219791636325267E-2</v>
      </c>
      <c r="G455" s="1">
        <f t="shared" si="30"/>
        <v>2.841101555445625E-2</v>
      </c>
      <c r="H455">
        <f t="shared" si="31"/>
        <v>2841.1015554456249</v>
      </c>
      <c r="I455">
        <f t="shared" si="32"/>
        <v>12705.79241791361</v>
      </c>
    </row>
    <row r="456" spans="1:9" x14ac:dyDescent="0.45">
      <c r="A456">
        <v>1.3945509635959752E-2</v>
      </c>
      <c r="B456">
        <f t="shared" si="35"/>
        <v>1.9447723900664629E-4</v>
      </c>
      <c r="E456">
        <f t="shared" si="33"/>
        <v>1.5688732622754767E-4</v>
      </c>
      <c r="F456">
        <f t="shared" si="34"/>
        <v>1.2525467106162055E-2</v>
      </c>
      <c r="G456" s="1">
        <f t="shared" si="30"/>
        <v>2.9121711021826781E-2</v>
      </c>
      <c r="H456">
        <f t="shared" si="31"/>
        <v>2912.1711021826782</v>
      </c>
      <c r="I456">
        <f t="shared" si="32"/>
        <v>13023.62509318191</v>
      </c>
    </row>
    <row r="457" spans="1:9" x14ac:dyDescent="0.45">
      <c r="A457">
        <v>-1.1319116310914978E-3</v>
      </c>
      <c r="B457">
        <f t="shared" si="35"/>
        <v>1.2812239406002151E-6</v>
      </c>
      <c r="E457">
        <f t="shared" si="33"/>
        <v>1.5876558303109237E-4</v>
      </c>
      <c r="F457">
        <f t="shared" si="34"/>
        <v>1.2600221546905132E-2</v>
      </c>
      <c r="G457" s="1">
        <f t="shared" si="30"/>
        <v>2.9295515096554436E-2</v>
      </c>
      <c r="H457">
        <f t="shared" si="31"/>
        <v>2929.5515096554436</v>
      </c>
      <c r="I457">
        <f t="shared" si="32"/>
        <v>13101.352638353408</v>
      </c>
    </row>
    <row r="458" spans="1:9" x14ac:dyDescent="0.45">
      <c r="A458">
        <v>-5.5824330047471449E-3</v>
      </c>
      <c r="B458">
        <f t="shared" si="35"/>
        <v>3.1163558252490235E-5</v>
      </c>
      <c r="E458">
        <f t="shared" si="33"/>
        <v>1.5088999204346197E-4</v>
      </c>
      <c r="F458">
        <f t="shared" si="34"/>
        <v>1.2283728751623505E-2</v>
      </c>
      <c r="G458" s="1">
        <f t="shared" si="30"/>
        <v>2.8559669347524651E-2</v>
      </c>
      <c r="H458">
        <f t="shared" si="31"/>
        <v>2855.966934752465</v>
      </c>
      <c r="I458">
        <f t="shared" si="32"/>
        <v>12772.272415196438</v>
      </c>
    </row>
    <row r="459" spans="1:9" x14ac:dyDescent="0.45">
      <c r="A459">
        <v>-1.1519637155288365E-2</v>
      </c>
      <c r="B459">
        <f t="shared" si="35"/>
        <v>1.327020401895002E-4</v>
      </c>
      <c r="E459">
        <f t="shared" si="33"/>
        <v>1.4489904691619183E-4</v>
      </c>
      <c r="F459">
        <f t="shared" si="34"/>
        <v>1.203740200027364E-2</v>
      </c>
      <c r="G459" s="1">
        <f t="shared" si="30"/>
        <v>2.7986959650636214E-2</v>
      </c>
      <c r="H459">
        <f t="shared" si="31"/>
        <v>2798.6959650636213</v>
      </c>
      <c r="I459">
        <f t="shared" si="32"/>
        <v>12516.148852473269</v>
      </c>
    </row>
    <row r="460" spans="1:9" x14ac:dyDescent="0.45">
      <c r="A460">
        <v>-1.2298414731048979E-2</v>
      </c>
      <c r="B460">
        <f t="shared" si="35"/>
        <v>1.5125100489688252E-4</v>
      </c>
      <c r="E460">
        <f t="shared" si="33"/>
        <v>1.4428799211466987E-4</v>
      </c>
      <c r="F460">
        <f t="shared" si="34"/>
        <v>1.2011993677765148E-2</v>
      </c>
      <c r="G460" s="1">
        <f t="shared" si="30"/>
        <v>2.7927885300803972E-2</v>
      </c>
      <c r="H460">
        <f t="shared" si="31"/>
        <v>2792.7885300803973</v>
      </c>
      <c r="I460">
        <f t="shared" si="32"/>
        <v>12489.730000082969</v>
      </c>
    </row>
    <row r="461" spans="1:9" x14ac:dyDescent="0.45">
      <c r="A461">
        <v>4.2354827201052103E-3</v>
      </c>
      <c r="B461">
        <f t="shared" si="35"/>
        <v>1.7939313872309832E-5</v>
      </c>
      <c r="E461">
        <f t="shared" si="33"/>
        <v>1.4462693538782145E-4</v>
      </c>
      <c r="F461">
        <f t="shared" si="34"/>
        <v>1.2026093937260819E-2</v>
      </c>
      <c r="G461" s="1">
        <f t="shared" si="30"/>
        <v>2.7960668404131406E-2</v>
      </c>
      <c r="H461">
        <f t="shared" si="31"/>
        <v>2796.0668404131407</v>
      </c>
      <c r="I461">
        <f t="shared" si="32"/>
        <v>12504.391049593678</v>
      </c>
    </row>
    <row r="462" spans="1:9" x14ac:dyDescent="0.45">
      <c r="A462">
        <v>-2.6201450964435935E-2</v>
      </c>
      <c r="B462">
        <f t="shared" si="35"/>
        <v>6.8651603264174074E-4</v>
      </c>
      <c r="E462">
        <f t="shared" si="33"/>
        <v>1.3829109774339313E-4</v>
      </c>
      <c r="F462">
        <f t="shared" si="34"/>
        <v>1.1759723540262038E-2</v>
      </c>
      <c r="G462" s="1">
        <f t="shared" si="30"/>
        <v>2.734135723110924E-2</v>
      </c>
      <c r="H462">
        <f t="shared" si="31"/>
        <v>2734.1357231109241</v>
      </c>
      <c r="I462">
        <f t="shared" si="32"/>
        <v>12227.426673173139</v>
      </c>
    </row>
    <row r="463" spans="1:9" x14ac:dyDescent="0.45">
      <c r="A463">
        <v>1.1646807251963764E-2</v>
      </c>
      <c r="B463">
        <f t="shared" si="35"/>
        <v>1.3564811916439573E-4</v>
      </c>
      <c r="E463">
        <f t="shared" si="33"/>
        <v>1.6570234200560964E-4</v>
      </c>
      <c r="F463">
        <f t="shared" si="34"/>
        <v>1.2872542173386329E-2</v>
      </c>
      <c r="G463" s="1">
        <f t="shared" si="30"/>
        <v>2.9928660553123217E-2</v>
      </c>
      <c r="H463">
        <f t="shared" si="31"/>
        <v>2992.8660553123218</v>
      </c>
      <c r="I463">
        <f t="shared" si="32"/>
        <v>13384.503894459995</v>
      </c>
    </row>
    <row r="464" spans="1:9" x14ac:dyDescent="0.45">
      <c r="A464">
        <v>-3.8403982216550503E-3</v>
      </c>
      <c r="B464">
        <f t="shared" si="35"/>
        <v>1.4748658500891273E-5</v>
      </c>
      <c r="E464">
        <f t="shared" si="33"/>
        <v>1.6419576146982321E-4</v>
      </c>
      <c r="F464">
        <f t="shared" si="34"/>
        <v>1.2813889396659518E-2</v>
      </c>
      <c r="G464" s="1">
        <f t="shared" si="30"/>
        <v>2.9792292847233382E-2</v>
      </c>
      <c r="H464">
        <f t="shared" si="31"/>
        <v>2979.2292847233384</v>
      </c>
      <c r="I464">
        <f t="shared" si="32"/>
        <v>13323.518402398922</v>
      </c>
    </row>
    <row r="465" spans="1:9" x14ac:dyDescent="0.45">
      <c r="A465">
        <v>9.2682967078872025E-3</v>
      </c>
      <c r="B465">
        <f t="shared" si="35"/>
        <v>8.5901323865432753E-5</v>
      </c>
      <c r="E465">
        <f t="shared" si="33"/>
        <v>1.5672334145823907E-4</v>
      </c>
      <c r="F465">
        <f t="shared" si="34"/>
        <v>1.2518919340671505E-2</v>
      </c>
      <c r="G465" s="1">
        <f t="shared" si="30"/>
        <v>2.9106487467061251E-2</v>
      </c>
      <c r="H465">
        <f t="shared" si="31"/>
        <v>2910.6487467061252</v>
      </c>
      <c r="I465">
        <f t="shared" si="32"/>
        <v>13016.816912518927</v>
      </c>
    </row>
    <row r="466" spans="1:9" x14ac:dyDescent="0.45">
      <c r="A466">
        <v>6.0242427935008891E-3</v>
      </c>
      <c r="B466">
        <f t="shared" si="35"/>
        <v>3.6291501235047393E-5</v>
      </c>
      <c r="E466">
        <f t="shared" si="33"/>
        <v>1.5317572679328324E-4</v>
      </c>
      <c r="F466">
        <f t="shared" si="34"/>
        <v>1.237641817301287E-2</v>
      </c>
      <c r="G466" s="1">
        <f t="shared" si="30"/>
        <v>2.8775172252254923E-2</v>
      </c>
      <c r="H466">
        <f t="shared" si="31"/>
        <v>2877.5172252254924</v>
      </c>
      <c r="I466">
        <f t="shared" si="32"/>
        <v>12868.648244061547</v>
      </c>
    </row>
    <row r="467" spans="1:9" x14ac:dyDescent="0.45">
      <c r="A467">
        <v>1.9605295165092684E-3</v>
      </c>
      <c r="B467">
        <f t="shared" si="35"/>
        <v>3.8436759851040662E-6</v>
      </c>
      <c r="E467">
        <f t="shared" si="33"/>
        <v>1.4732987584810736E-4</v>
      </c>
      <c r="F467">
        <f t="shared" si="34"/>
        <v>1.2137951880284719E-2</v>
      </c>
      <c r="G467" s="1">
        <f t="shared" si="30"/>
        <v>2.8220738121661974E-2</v>
      </c>
      <c r="H467">
        <f t="shared" si="31"/>
        <v>2822.0738121661975</v>
      </c>
      <c r="I467">
        <f t="shared" si="32"/>
        <v>12620.697763051183</v>
      </c>
    </row>
    <row r="468" spans="1:9" x14ac:dyDescent="0.45">
      <c r="A468">
        <v>-6.3129391492111608E-3</v>
      </c>
      <c r="B468">
        <f t="shared" si="35"/>
        <v>3.9853200701642933E-5</v>
      </c>
      <c r="E468">
        <f t="shared" si="33"/>
        <v>1.4015556584559809E-4</v>
      </c>
      <c r="F468">
        <f t="shared" si="34"/>
        <v>1.1838731597835897E-2</v>
      </c>
      <c r="G468" s="1">
        <f t="shared" si="30"/>
        <v>2.7525050964968462E-2</v>
      </c>
      <c r="H468">
        <f t="shared" si="31"/>
        <v>2752.5050964968464</v>
      </c>
      <c r="I468">
        <f t="shared" si="32"/>
        <v>12309.577008363134</v>
      </c>
    </row>
    <row r="469" spans="1:9" x14ac:dyDescent="0.45">
      <c r="A469">
        <v>-8.0568725024932064E-3</v>
      </c>
      <c r="B469">
        <f t="shared" si="35"/>
        <v>6.4913194521431142E-5</v>
      </c>
      <c r="E469">
        <f t="shared" si="33"/>
        <v>1.3514019024653766E-4</v>
      </c>
      <c r="F469">
        <f t="shared" si="34"/>
        <v>1.1624981300911313E-2</v>
      </c>
      <c r="G469" s="1">
        <f t="shared" si="30"/>
        <v>2.7028081524618806E-2</v>
      </c>
      <c r="H469">
        <f t="shared" si="31"/>
        <v>2702.8081524618806</v>
      </c>
      <c r="I469">
        <f t="shared" si="32"/>
        <v>12087.325518090762</v>
      </c>
    </row>
    <row r="470" spans="1:9" x14ac:dyDescent="0.45">
      <c r="A470">
        <v>4.7937419367372058E-3</v>
      </c>
      <c r="B470">
        <f t="shared" si="35"/>
        <v>2.2979961756032976E-5</v>
      </c>
      <c r="E470">
        <f t="shared" si="33"/>
        <v>1.3162829038609118E-4</v>
      </c>
      <c r="F470">
        <f t="shared" si="34"/>
        <v>1.1472937304199442E-2</v>
      </c>
      <c r="G470" s="1">
        <f t="shared" si="30"/>
        <v>2.6674579232263705E-2</v>
      </c>
      <c r="H470">
        <f t="shared" si="31"/>
        <v>2667.4579232263704</v>
      </c>
      <c r="I470">
        <f t="shared" si="32"/>
        <v>11929.234486909159</v>
      </c>
    </row>
    <row r="471" spans="1:9" x14ac:dyDescent="0.45">
      <c r="A471">
        <v>9.9819317256333306E-3</v>
      </c>
      <c r="B471">
        <f t="shared" si="35"/>
        <v>9.9638960975205197E-5</v>
      </c>
      <c r="E471">
        <f t="shared" si="33"/>
        <v>1.2618748664761198E-4</v>
      </c>
      <c r="F471">
        <f t="shared" si="34"/>
        <v>1.1233320375009874E-2</v>
      </c>
      <c r="G471" s="1">
        <f t="shared" si="30"/>
        <v>2.6117469871897957E-2</v>
      </c>
      <c r="H471">
        <f t="shared" si="31"/>
        <v>2611.7469871897956</v>
      </c>
      <c r="I471">
        <f t="shared" si="32"/>
        <v>11680.087606773312</v>
      </c>
    </row>
    <row r="472" spans="1:9" x14ac:dyDescent="0.45">
      <c r="A472">
        <v>2.1120399651408661E-3</v>
      </c>
      <c r="B472">
        <f t="shared" si="35"/>
        <v>4.4607128143522306E-6</v>
      </c>
      <c r="E472">
        <f t="shared" si="33"/>
        <v>1.2485836086620426E-4</v>
      </c>
      <c r="F472">
        <f t="shared" si="34"/>
        <v>1.117400379748478E-2</v>
      </c>
      <c r="G472" s="1">
        <f t="shared" si="30"/>
        <v>2.5979558829152115E-2</v>
      </c>
      <c r="H472">
        <f t="shared" si="31"/>
        <v>2597.9558829152115</v>
      </c>
      <c r="I472">
        <f t="shared" si="32"/>
        <v>11618.411913487795</v>
      </c>
    </row>
    <row r="473" spans="1:9" x14ac:dyDescent="0.45">
      <c r="A473">
        <v>-3.307059159851633E-3</v>
      </c>
      <c r="B473">
        <f t="shared" si="35"/>
        <v>1.0936640286758589E-5</v>
      </c>
      <c r="E473">
        <f t="shared" si="33"/>
        <v>1.1883833264737611E-4</v>
      </c>
      <c r="F473">
        <f t="shared" si="34"/>
        <v>1.0901299585250197E-2</v>
      </c>
      <c r="G473" s="1">
        <f t="shared" ref="G473:G536" si="36">F473*$H$1</f>
        <v>2.5345521535706711E-2</v>
      </c>
      <c r="H473">
        <f t="shared" ref="H473:H536" si="37">G473*$H$2</f>
        <v>2534.5521535706712</v>
      </c>
      <c r="I473">
        <f t="shared" ref="I473:I536" si="38">H473*SQRT($H$3)</f>
        <v>11334.861815805014</v>
      </c>
    </row>
    <row r="474" spans="1:9" x14ac:dyDescent="0.45">
      <c r="A474">
        <v>8.8357410277239978E-5</v>
      </c>
      <c r="B474">
        <f t="shared" si="35"/>
        <v>7.8070319509005129E-9</v>
      </c>
      <c r="E474">
        <f t="shared" ref="E474:E537" si="39">(1-$E$1)*SUMPRODUCT($D$2:$D$151,B324:B473)</f>
        <v>1.1344190760378049E-4</v>
      </c>
      <c r="F474">
        <f t="shared" ref="F474:F537" si="40">SQRT(E474)</f>
        <v>1.0650911116133704E-2</v>
      </c>
      <c r="G474" s="1">
        <f t="shared" si="36"/>
        <v>2.4763368345010865E-2</v>
      </c>
      <c r="H474">
        <f t="shared" si="37"/>
        <v>2476.3368345010863</v>
      </c>
      <c r="I474">
        <f t="shared" si="38"/>
        <v>11074.514994262152</v>
      </c>
    </row>
    <row r="475" spans="1:9" x14ac:dyDescent="0.45">
      <c r="A475">
        <v>2.0235120246070437E-4</v>
      </c>
      <c r="B475">
        <f t="shared" si="35"/>
        <v>4.0946009137292971E-8</v>
      </c>
      <c r="E475">
        <f t="shared" si="39"/>
        <v>1.0776933368635484E-4</v>
      </c>
      <c r="F475">
        <f t="shared" si="40"/>
        <v>1.0381200975145161E-2</v>
      </c>
      <c r="G475" s="1">
        <f t="shared" si="36"/>
        <v>2.4136292267212502E-2</v>
      </c>
      <c r="H475">
        <f t="shared" si="37"/>
        <v>2413.6292267212502</v>
      </c>
      <c r="I475">
        <f t="shared" si="38"/>
        <v>10794.078046857936</v>
      </c>
    </row>
    <row r="476" spans="1:9" x14ac:dyDescent="0.45">
      <c r="A476">
        <v>-1.1257725418545306E-2</v>
      </c>
      <c r="B476">
        <f t="shared" si="35"/>
        <v>1.2673638159936107E-4</v>
      </c>
      <c r="E476">
        <f t="shared" si="39"/>
        <v>1.0238276784871653E-4</v>
      </c>
      <c r="F476">
        <f t="shared" si="40"/>
        <v>1.0118437025979681E-2</v>
      </c>
      <c r="G476" s="1">
        <f t="shared" si="36"/>
        <v>2.352536608540276E-2</v>
      </c>
      <c r="H476">
        <f t="shared" si="37"/>
        <v>2352.5366085402761</v>
      </c>
      <c r="I476">
        <f t="shared" si="38"/>
        <v>10520.86355250574</v>
      </c>
    </row>
    <row r="477" spans="1:9" x14ac:dyDescent="0.45">
      <c r="A477">
        <v>-4.8083393267006613E-3</v>
      </c>
      <c r="B477">
        <f t="shared" si="35"/>
        <v>2.3120127080696168E-5</v>
      </c>
      <c r="E477">
        <f t="shared" si="39"/>
        <v>1.0359999751246611E-4</v>
      </c>
      <c r="F477">
        <f t="shared" si="40"/>
        <v>1.0178408397802974E-2</v>
      </c>
      <c r="G477" s="1">
        <f t="shared" si="36"/>
        <v>2.3664799524891918E-2</v>
      </c>
      <c r="H477">
        <f t="shared" si="37"/>
        <v>2366.4799524891919</v>
      </c>
      <c r="I477">
        <f t="shared" si="38"/>
        <v>10583.220082312611</v>
      </c>
    </row>
    <row r="478" spans="1:9" x14ac:dyDescent="0.45">
      <c r="A478">
        <v>-7.3828459790092893E-3</v>
      </c>
      <c r="B478">
        <f t="shared" si="35"/>
        <v>5.4506414749773631E-5</v>
      </c>
      <c r="E478">
        <f t="shared" si="39"/>
        <v>9.9575408748438167E-5</v>
      </c>
      <c r="F478">
        <f t="shared" si="40"/>
        <v>9.978747854737997E-3</v>
      </c>
      <c r="G478" s="1">
        <f t="shared" si="36"/>
        <v>2.3200588762265845E-2</v>
      </c>
      <c r="H478">
        <f t="shared" si="37"/>
        <v>2320.0588762265847</v>
      </c>
      <c r="I478">
        <f t="shared" si="38"/>
        <v>10375.618718088828</v>
      </c>
    </row>
    <row r="479" spans="1:9" x14ac:dyDescent="0.45">
      <c r="A479">
        <v>5.268680070003029E-3</v>
      </c>
      <c r="B479">
        <f t="shared" si="35"/>
        <v>2.7758989680047123E-5</v>
      </c>
      <c r="E479">
        <f t="shared" si="39"/>
        <v>9.7320566152624927E-5</v>
      </c>
      <c r="F479">
        <f t="shared" si="40"/>
        <v>9.8651186588213386E-3</v>
      </c>
      <c r="G479" s="1">
        <f t="shared" si="36"/>
        <v>2.2936400881759612E-2</v>
      </c>
      <c r="H479">
        <f t="shared" si="37"/>
        <v>2293.6400881759614</v>
      </c>
      <c r="I479">
        <f t="shared" si="38"/>
        <v>10257.470306160123</v>
      </c>
    </row>
    <row r="480" spans="1:9" x14ac:dyDescent="0.45">
      <c r="A480">
        <v>-6.3204197431332432E-3</v>
      </c>
      <c r="B480">
        <f t="shared" si="35"/>
        <v>3.9947705729388491E-5</v>
      </c>
      <c r="E480">
        <f t="shared" si="39"/>
        <v>9.3842482756597922E-5</v>
      </c>
      <c r="F480">
        <f t="shared" si="40"/>
        <v>9.6872329773056414E-3</v>
      </c>
      <c r="G480" s="1">
        <f t="shared" si="36"/>
        <v>2.2522816672235619E-2</v>
      </c>
      <c r="H480">
        <f t="shared" si="37"/>
        <v>2252.2816672235617</v>
      </c>
      <c r="I480">
        <f t="shared" si="38"/>
        <v>10072.509824776889</v>
      </c>
    </row>
    <row r="481" spans="1:9" x14ac:dyDescent="0.45">
      <c r="A481">
        <v>-5.5699274525977671E-3</v>
      </c>
      <c r="B481">
        <f t="shared" si="35"/>
        <v>3.1024091827202248E-5</v>
      </c>
      <c r="E481">
        <f t="shared" si="39"/>
        <v>9.1144742988517438E-5</v>
      </c>
      <c r="F481">
        <f t="shared" si="40"/>
        <v>9.546975593795002E-3</v>
      </c>
      <c r="G481" s="1">
        <f t="shared" si="36"/>
        <v>2.2196718255573383E-2</v>
      </c>
      <c r="H481">
        <f t="shared" si="37"/>
        <v>2219.6718255573383</v>
      </c>
      <c r="I481">
        <f t="shared" si="38"/>
        <v>9926.6741793745277</v>
      </c>
    </row>
    <row r="482" spans="1:9" x14ac:dyDescent="0.45">
      <c r="A482">
        <v>4.0770146370050497E-3</v>
      </c>
      <c r="B482">
        <f t="shared" si="35"/>
        <v>1.6622048350353419E-5</v>
      </c>
      <c r="E482">
        <f t="shared" si="39"/>
        <v>8.813261072800898E-5</v>
      </c>
      <c r="F482">
        <f t="shared" si="40"/>
        <v>9.3878970343740445E-3</v>
      </c>
      <c r="G482" s="1">
        <f t="shared" si="36"/>
        <v>2.1826860604919656E-2</v>
      </c>
      <c r="H482">
        <f t="shared" si="37"/>
        <v>2182.6860604919657</v>
      </c>
      <c r="I482">
        <f t="shared" si="38"/>
        <v>9761.2688096025067</v>
      </c>
    </row>
    <row r="483" spans="1:9" x14ac:dyDescent="0.45">
      <c r="A483">
        <v>1.7417869457858615E-2</v>
      </c>
      <c r="B483">
        <f t="shared" si="35"/>
        <v>3.0338217645100397E-4</v>
      </c>
      <c r="E483">
        <f t="shared" si="39"/>
        <v>8.4555660236938952E-5</v>
      </c>
      <c r="F483">
        <f t="shared" si="40"/>
        <v>9.1954151747998276E-3</v>
      </c>
      <c r="G483" s="1">
        <f t="shared" si="36"/>
        <v>2.1379340281409601E-2</v>
      </c>
      <c r="H483">
        <f t="shared" si="37"/>
        <v>2137.93402814096</v>
      </c>
      <c r="I483">
        <f t="shared" si="38"/>
        <v>9561.1316366662704</v>
      </c>
    </row>
    <row r="484" spans="1:9" x14ac:dyDescent="0.45">
      <c r="A484">
        <v>-1.2969530871487223E-2</v>
      </c>
      <c r="B484">
        <f t="shared" si="35"/>
        <v>1.6820873102646011E-4</v>
      </c>
      <c r="E484">
        <f t="shared" si="39"/>
        <v>9.5493742327627348E-5</v>
      </c>
      <c r="F484">
        <f t="shared" si="40"/>
        <v>9.7720899672294956E-3</v>
      </c>
      <c r="G484" s="1">
        <f t="shared" si="36"/>
        <v>2.2720109173808577E-2</v>
      </c>
      <c r="H484">
        <f t="shared" si="37"/>
        <v>2272.0109173808578</v>
      </c>
      <c r="I484">
        <f t="shared" si="38"/>
        <v>10160.741713770514</v>
      </c>
    </row>
    <row r="485" spans="1:9" x14ac:dyDescent="0.45">
      <c r="A485">
        <v>-6.6527491071610712E-3</v>
      </c>
      <c r="B485">
        <f t="shared" si="35"/>
        <v>4.4259070682832428E-5</v>
      </c>
      <c r="E485">
        <f t="shared" si="39"/>
        <v>9.9127526166170924E-5</v>
      </c>
      <c r="F485">
        <f t="shared" si="40"/>
        <v>9.9562807396221462E-3</v>
      </c>
      <c r="G485" s="1">
        <f t="shared" si="36"/>
        <v>2.3148352719621491E-2</v>
      </c>
      <c r="H485">
        <f t="shared" si="37"/>
        <v>2314.8352719621494</v>
      </c>
      <c r="I485">
        <f t="shared" si="38"/>
        <v>10352.258049643158</v>
      </c>
    </row>
    <row r="486" spans="1:9" x14ac:dyDescent="0.45">
      <c r="A486">
        <v>-6.0822458181064576E-5</v>
      </c>
      <c r="B486">
        <f t="shared" si="35"/>
        <v>3.6993714191873492E-9</v>
      </c>
      <c r="E486">
        <f t="shared" si="39"/>
        <v>9.6384056635967337E-5</v>
      </c>
      <c r="F486">
        <f t="shared" si="40"/>
        <v>9.817538216679746E-3</v>
      </c>
      <c r="G486" s="1">
        <f t="shared" si="36"/>
        <v>2.282577635378041E-2</v>
      </c>
      <c r="H486">
        <f t="shared" si="37"/>
        <v>2282.5776353780411</v>
      </c>
      <c r="I486">
        <f t="shared" si="38"/>
        <v>10207.997513252058</v>
      </c>
    </row>
    <row r="487" spans="1:9" x14ac:dyDescent="0.45">
      <c r="A487">
        <v>1.1034217095584609E-2</v>
      </c>
      <c r="B487">
        <f t="shared" si="35"/>
        <v>1.2175394691249164E-4</v>
      </c>
      <c r="E487">
        <f t="shared" si="39"/>
        <v>9.1564624807767989E-5</v>
      </c>
      <c r="F487">
        <f t="shared" si="40"/>
        <v>9.5689406314266572E-3</v>
      </c>
      <c r="G487" s="1">
        <f t="shared" si="36"/>
        <v>2.2247786968066979E-2</v>
      </c>
      <c r="H487">
        <f t="shared" si="37"/>
        <v>2224.778696806698</v>
      </c>
      <c r="I487">
        <f t="shared" si="38"/>
        <v>9949.5128019063432</v>
      </c>
    </row>
    <row r="488" spans="1:9" x14ac:dyDescent="0.45">
      <c r="A488">
        <v>-6.7168230089009739E-3</v>
      </c>
      <c r="B488">
        <f t="shared" si="35"/>
        <v>4.5115711332901535E-5</v>
      </c>
      <c r="E488">
        <f t="shared" si="39"/>
        <v>9.3062341079573437E-5</v>
      </c>
      <c r="F488">
        <f t="shared" si="40"/>
        <v>9.6468824539108714E-3</v>
      </c>
      <c r="G488" s="1">
        <f t="shared" si="36"/>
        <v>2.2429001705342778E-2</v>
      </c>
      <c r="H488">
        <f t="shared" si="37"/>
        <v>2242.9001705342775</v>
      </c>
      <c r="I488">
        <f t="shared" si="38"/>
        <v>10030.554496121031</v>
      </c>
    </row>
    <row r="489" spans="1:9" x14ac:dyDescent="0.45">
      <c r="A489">
        <v>6.7773498813039623E-3</v>
      </c>
      <c r="B489">
        <f t="shared" si="35"/>
        <v>4.5932471413610832E-5</v>
      </c>
      <c r="E489">
        <f t="shared" si="39"/>
        <v>9.0663415972763649E-5</v>
      </c>
      <c r="F489">
        <f t="shared" si="40"/>
        <v>9.5217338742880041E-3</v>
      </c>
      <c r="G489" s="1">
        <f t="shared" si="36"/>
        <v>2.2138031257719612E-2</v>
      </c>
      <c r="H489">
        <f t="shared" si="37"/>
        <v>2213.8031257719613</v>
      </c>
      <c r="I489">
        <f t="shared" si="38"/>
        <v>9900.4285560552453</v>
      </c>
    </row>
    <row r="490" spans="1:9" x14ac:dyDescent="0.45">
      <c r="A490">
        <v>-2.2773974706069566E-3</v>
      </c>
      <c r="B490">
        <f t="shared" si="35"/>
        <v>5.1865392391269643E-6</v>
      </c>
      <c r="E490">
        <f t="shared" si="39"/>
        <v>8.8426108435621102E-5</v>
      </c>
      <c r="F490">
        <f t="shared" si="40"/>
        <v>9.4035157486772516E-3</v>
      </c>
      <c r="G490" s="1">
        <f t="shared" si="36"/>
        <v>2.1863174115674611E-2</v>
      </c>
      <c r="H490">
        <f t="shared" si="37"/>
        <v>2186.317411567461</v>
      </c>
      <c r="I490">
        <f t="shared" si="38"/>
        <v>9777.5087053124571</v>
      </c>
    </row>
    <row r="491" spans="1:9" x14ac:dyDescent="0.45">
      <c r="A491">
        <v>-1.5666728359065019E-2</v>
      </c>
      <c r="B491">
        <f t="shared" si="35"/>
        <v>2.4544637747673208E-4</v>
      </c>
      <c r="E491">
        <f t="shared" si="39"/>
        <v>8.4259782633533685E-5</v>
      </c>
      <c r="F491">
        <f t="shared" si="40"/>
        <v>9.1793127538794365E-3</v>
      </c>
      <c r="G491" s="1">
        <f t="shared" si="36"/>
        <v>2.1341902152769692E-2</v>
      </c>
      <c r="H491">
        <f t="shared" si="37"/>
        <v>2134.1902152769694</v>
      </c>
      <c r="I491">
        <f t="shared" si="38"/>
        <v>9544.3887965484282</v>
      </c>
    </row>
    <row r="492" spans="1:9" x14ac:dyDescent="0.45">
      <c r="A492">
        <v>-1.8296759662916884E-3</v>
      </c>
      <c r="B492">
        <f t="shared" si="35"/>
        <v>3.3477141416254234E-6</v>
      </c>
      <c r="E492">
        <f t="shared" si="39"/>
        <v>9.2317688120274809E-5</v>
      </c>
      <c r="F492">
        <f t="shared" si="40"/>
        <v>9.6082094128029285E-3</v>
      </c>
      <c r="G492" s="1">
        <f t="shared" si="36"/>
        <v>2.2339086884766809E-2</v>
      </c>
      <c r="H492">
        <f t="shared" si="37"/>
        <v>2233.9086884766812</v>
      </c>
      <c r="I492">
        <f t="shared" si="38"/>
        <v>9990.3433659225211</v>
      </c>
    </row>
    <row r="493" spans="1:9" x14ac:dyDescent="0.45">
      <c r="A493">
        <v>-5.142544523550896E-3</v>
      </c>
      <c r="B493">
        <f t="shared" si="35"/>
        <v>2.6445764176703312E-5</v>
      </c>
      <c r="E493">
        <f t="shared" si="39"/>
        <v>8.7868426015074488E-5</v>
      </c>
      <c r="F493">
        <f t="shared" si="40"/>
        <v>9.3738159793690465E-3</v>
      </c>
      <c r="G493" s="1">
        <f t="shared" si="36"/>
        <v>2.1794122152033035E-2</v>
      </c>
      <c r="H493">
        <f t="shared" si="37"/>
        <v>2179.4122152033033</v>
      </c>
      <c r="I493">
        <f t="shared" si="38"/>
        <v>9746.6277283759737</v>
      </c>
    </row>
    <row r="494" spans="1:9" x14ac:dyDescent="0.45">
      <c r="A494">
        <v>-1.3670614862348884E-3</v>
      </c>
      <c r="B494">
        <f t="shared" si="35"/>
        <v>1.8688571071467421E-6</v>
      </c>
      <c r="E494">
        <f t="shared" si="39"/>
        <v>8.4796536886797626E-5</v>
      </c>
      <c r="F494">
        <f t="shared" si="40"/>
        <v>9.2085035096261779E-3</v>
      </c>
      <c r="G494" s="1">
        <f t="shared" si="36"/>
        <v>2.1409770659880867E-2</v>
      </c>
      <c r="H494">
        <f t="shared" si="37"/>
        <v>2140.9770659880869</v>
      </c>
      <c r="I494">
        <f t="shared" si="38"/>
        <v>9574.7405156348304</v>
      </c>
    </row>
    <row r="495" spans="1:9" x14ac:dyDescent="0.45">
      <c r="A495">
        <v>-1.6135209079948254E-2</v>
      </c>
      <c r="B495">
        <f t="shared" si="35"/>
        <v>2.6034497205364458E-4</v>
      </c>
      <c r="E495">
        <f t="shared" si="39"/>
        <v>8.0650096665629191E-5</v>
      </c>
      <c r="F495">
        <f t="shared" si="40"/>
        <v>8.980539887202172E-3</v>
      </c>
      <c r="G495" s="1">
        <f t="shared" si="36"/>
        <v>2.0879755237745053E-2</v>
      </c>
      <c r="H495">
        <f t="shared" si="37"/>
        <v>2087.9755237745053</v>
      </c>
      <c r="I495">
        <f t="shared" si="38"/>
        <v>9337.7104130310454</v>
      </c>
    </row>
    <row r="496" spans="1:9" x14ac:dyDescent="0.45">
      <c r="A496">
        <v>2.3465304366254713E-3</v>
      </c>
      <c r="B496">
        <f t="shared" si="35"/>
        <v>5.5062050900097251E-6</v>
      </c>
      <c r="E496">
        <f t="shared" si="39"/>
        <v>8.9634121922578305E-5</v>
      </c>
      <c r="F496">
        <f t="shared" si="40"/>
        <v>9.4675298743958722E-3</v>
      </c>
      <c r="G496" s="1">
        <f t="shared" si="36"/>
        <v>2.2012006957970405E-2</v>
      </c>
      <c r="H496">
        <f t="shared" si="37"/>
        <v>2201.2006957970407</v>
      </c>
      <c r="I496">
        <f t="shared" si="38"/>
        <v>9844.0687758440381</v>
      </c>
    </row>
    <row r="497" spans="1:9" x14ac:dyDescent="0.45">
      <c r="A497">
        <v>2.5008193915709853E-2</v>
      </c>
      <c r="B497">
        <f t="shared" si="35"/>
        <v>6.2540976292574726E-4</v>
      </c>
      <c r="E497">
        <f t="shared" si="39"/>
        <v>8.5423127210990397E-5</v>
      </c>
      <c r="F497">
        <f t="shared" si="40"/>
        <v>9.2424632653308608E-3</v>
      </c>
      <c r="G497" s="1">
        <f t="shared" si="36"/>
        <v>2.1488727091894252E-2</v>
      </c>
      <c r="H497">
        <f t="shared" si="37"/>
        <v>2148.8727091894252</v>
      </c>
      <c r="I497">
        <f t="shared" si="38"/>
        <v>9610.0509054833838</v>
      </c>
    </row>
    <row r="498" spans="1:9" x14ac:dyDescent="0.45">
      <c r="A498">
        <v>1.3528870113077573E-2</v>
      </c>
      <c r="B498">
        <f t="shared" si="35"/>
        <v>1.8303032653652358E-4</v>
      </c>
      <c r="E498">
        <f t="shared" si="39"/>
        <v>1.1242202171270908E-4</v>
      </c>
      <c r="F498">
        <f t="shared" si="40"/>
        <v>1.0602925148877977E-2</v>
      </c>
      <c r="G498" s="1">
        <f t="shared" si="36"/>
        <v>2.4651800971141297E-2</v>
      </c>
      <c r="H498">
        <f t="shared" si="37"/>
        <v>2465.1800971141297</v>
      </c>
      <c r="I498">
        <f t="shared" si="38"/>
        <v>11024.620547853454</v>
      </c>
    </row>
    <row r="499" spans="1:9" x14ac:dyDescent="0.45">
      <c r="A499">
        <v>6.9409225034178235E-3</v>
      </c>
      <c r="B499">
        <f t="shared" si="35"/>
        <v>4.8176405198451948E-5</v>
      </c>
      <c r="E499">
        <f t="shared" si="39"/>
        <v>1.1594734229025742E-4</v>
      </c>
      <c r="F499">
        <f t="shared" si="40"/>
        <v>1.0767884763975579E-2</v>
      </c>
      <c r="G499" s="1">
        <f t="shared" si="36"/>
        <v>2.5035332076243224E-2</v>
      </c>
      <c r="H499">
        <f t="shared" si="37"/>
        <v>2503.5332076243226</v>
      </c>
      <c r="I499">
        <f t="shared" si="38"/>
        <v>11196.14087235216</v>
      </c>
    </row>
    <row r="500" spans="1:9" x14ac:dyDescent="0.45">
      <c r="A500">
        <v>-1.747748683555983E-2</v>
      </c>
      <c r="B500">
        <f t="shared" si="35"/>
        <v>3.0546254608716718E-4</v>
      </c>
      <c r="E500">
        <f t="shared" si="39"/>
        <v>1.1255762234602319E-4</v>
      </c>
      <c r="F500">
        <f t="shared" si="40"/>
        <v>1.0609317713501806E-2</v>
      </c>
      <c r="G500" s="1">
        <f t="shared" si="36"/>
        <v>2.4666663683891702E-2</v>
      </c>
      <c r="H500">
        <f t="shared" si="37"/>
        <v>2466.6663683891702</v>
      </c>
      <c r="I500">
        <f t="shared" si="38"/>
        <v>11031.267355061447</v>
      </c>
    </row>
    <row r="501" spans="1:9" x14ac:dyDescent="0.45">
      <c r="A501">
        <v>-2.555441369622713E-3</v>
      </c>
      <c r="B501">
        <f t="shared" si="35"/>
        <v>6.5302805935792073E-6</v>
      </c>
      <c r="E501">
        <f t="shared" si="39"/>
        <v>1.2219843236352851E-4</v>
      </c>
      <c r="F501">
        <f t="shared" si="40"/>
        <v>1.1054339978647685E-2</v>
      </c>
      <c r="G501" s="1">
        <f t="shared" si="36"/>
        <v>2.570134045035587E-2</v>
      </c>
      <c r="H501">
        <f t="shared" si="37"/>
        <v>2570.134045035587</v>
      </c>
      <c r="I501">
        <f t="shared" si="38"/>
        <v>11493.988871972157</v>
      </c>
    </row>
    <row r="502" spans="1:9" x14ac:dyDescent="0.45">
      <c r="A502">
        <v>-8.2703763837344013E-3</v>
      </c>
      <c r="B502">
        <f t="shared" si="35"/>
        <v>6.8399125528631713E-5</v>
      </c>
      <c r="E502">
        <f t="shared" si="39"/>
        <v>1.1640724094004832E-4</v>
      </c>
      <c r="F502">
        <f t="shared" si="40"/>
        <v>1.0789218736314892E-2</v>
      </c>
      <c r="G502" s="1">
        <f t="shared" si="36"/>
        <v>2.5084933561932126E-2</v>
      </c>
      <c r="H502">
        <f t="shared" si="37"/>
        <v>2508.4933561932125</v>
      </c>
      <c r="I502">
        <f t="shared" si="38"/>
        <v>11218.323331109234</v>
      </c>
    </row>
    <row r="503" spans="1:9" x14ac:dyDescent="0.45">
      <c r="A503">
        <v>-1.2876080290880054E-2</v>
      </c>
      <c r="B503">
        <f t="shared" si="35"/>
        <v>1.6579344365718978E-4</v>
      </c>
      <c r="E503">
        <f t="shared" si="39"/>
        <v>1.1400670267155939E-4</v>
      </c>
      <c r="F503">
        <f t="shared" si="40"/>
        <v>1.0677392128771866E-2</v>
      </c>
      <c r="G503" s="1">
        <f t="shared" si="36"/>
        <v>2.482493669939459E-2</v>
      </c>
      <c r="H503">
        <f t="shared" si="37"/>
        <v>2482.4936699394589</v>
      </c>
      <c r="I503">
        <f t="shared" si="38"/>
        <v>11102.049199395113</v>
      </c>
    </row>
    <row r="504" spans="1:9" x14ac:dyDescent="0.45">
      <c r="A504">
        <v>-1.1680049283313565E-2</v>
      </c>
      <c r="B504">
        <f t="shared" si="35"/>
        <v>1.3642355126063373E-4</v>
      </c>
      <c r="E504">
        <f t="shared" si="39"/>
        <v>1.1659477914983797E-4</v>
      </c>
      <c r="F504">
        <f t="shared" si="40"/>
        <v>1.079790623916683E-2</v>
      </c>
      <c r="G504" s="1">
        <f t="shared" si="36"/>
        <v>2.5105132006062882E-2</v>
      </c>
      <c r="H504">
        <f t="shared" si="37"/>
        <v>2510.5132006062881</v>
      </c>
      <c r="I504">
        <f t="shared" si="38"/>
        <v>11227.356349932454</v>
      </c>
    </row>
    <row r="505" spans="1:9" x14ac:dyDescent="0.45">
      <c r="A505">
        <v>6.1045284382998943E-4</v>
      </c>
      <c r="B505">
        <f t="shared" si="35"/>
        <v>3.7265267454012147E-7</v>
      </c>
      <c r="E505">
        <f t="shared" si="39"/>
        <v>1.1758443977296299E-4</v>
      </c>
      <c r="F505">
        <f t="shared" si="40"/>
        <v>1.0843635911121462E-2</v>
      </c>
      <c r="G505" s="1">
        <f t="shared" si="36"/>
        <v>2.5211453493357402E-2</v>
      </c>
      <c r="H505">
        <f t="shared" si="37"/>
        <v>2521.1453493357403</v>
      </c>
      <c r="I505">
        <f t="shared" si="38"/>
        <v>11274.904764544341</v>
      </c>
    </row>
    <row r="506" spans="1:9" x14ac:dyDescent="0.45">
      <c r="A506">
        <v>3.3401988730474841E-3</v>
      </c>
      <c r="B506">
        <f t="shared" si="35"/>
        <v>1.1156928511507682E-5</v>
      </c>
      <c r="E506">
        <f t="shared" si="39"/>
        <v>1.1171066101411469E-4</v>
      </c>
      <c r="F506">
        <f t="shared" si="40"/>
        <v>1.056932642196818E-2</v>
      </c>
      <c r="G506" s="1">
        <f t="shared" si="36"/>
        <v>2.4573683931076021E-2</v>
      </c>
      <c r="H506">
        <f t="shared" si="37"/>
        <v>2457.3683931076021</v>
      </c>
      <c r="I506">
        <f t="shared" si="38"/>
        <v>10989.685545496048</v>
      </c>
    </row>
    <row r="507" spans="1:9" x14ac:dyDescent="0.45">
      <c r="A507">
        <v>4.8874881031224504E-3</v>
      </c>
      <c r="B507">
        <f t="shared" si="35"/>
        <v>2.3887539958163488E-5</v>
      </c>
      <c r="E507">
        <f t="shared" si="39"/>
        <v>1.0667498548662993E-4</v>
      </c>
      <c r="F507">
        <f t="shared" si="40"/>
        <v>1.032835831517429E-2</v>
      </c>
      <c r="G507" s="1">
        <f t="shared" si="36"/>
        <v>2.4013433082780228E-2</v>
      </c>
      <c r="H507">
        <f t="shared" si="37"/>
        <v>2401.343308278023</v>
      </c>
      <c r="I507">
        <f t="shared" si="38"/>
        <v>10739.133749247787</v>
      </c>
    </row>
    <row r="508" spans="1:9" x14ac:dyDescent="0.45">
      <c r="A508">
        <v>1.4300076145445928E-2</v>
      </c>
      <c r="B508">
        <f t="shared" si="35"/>
        <v>2.0449217776555168E-4</v>
      </c>
      <c r="E508">
        <f t="shared" si="39"/>
        <v>1.0253439348947477E-4</v>
      </c>
      <c r="F508">
        <f t="shared" si="40"/>
        <v>1.0125926796569032E-2</v>
      </c>
      <c r="G508" s="1">
        <f t="shared" si="36"/>
        <v>2.3542779802023E-2</v>
      </c>
      <c r="H508">
        <f t="shared" si="37"/>
        <v>2354.2779802023001</v>
      </c>
      <c r="I508">
        <f t="shared" si="38"/>
        <v>10528.651203326495</v>
      </c>
    </row>
    <row r="509" spans="1:9" x14ac:dyDescent="0.45">
      <c r="A509">
        <v>1.241496647708118E-2</v>
      </c>
      <c r="B509">
        <f t="shared" si="35"/>
        <v>1.5413139262704948E-4</v>
      </c>
      <c r="E509">
        <f t="shared" si="39"/>
        <v>1.076156920560368E-4</v>
      </c>
      <c r="F509">
        <f t="shared" si="40"/>
        <v>1.0373798342749719E-2</v>
      </c>
      <c r="G509" s="1">
        <f t="shared" si="36"/>
        <v>2.4119081146893099E-2</v>
      </c>
      <c r="H509">
        <f t="shared" si="37"/>
        <v>2411.90811468931</v>
      </c>
      <c r="I509">
        <f t="shared" si="38"/>
        <v>10786.380999857312</v>
      </c>
    </row>
    <row r="510" spans="1:9" x14ac:dyDescent="0.45">
      <c r="A510">
        <v>7.2180796450993512E-3</v>
      </c>
      <c r="B510">
        <f t="shared" si="35"/>
        <v>5.2100673762997576E-5</v>
      </c>
      <c r="E510">
        <f t="shared" si="39"/>
        <v>1.0993676329322025E-4</v>
      </c>
      <c r="F510">
        <f t="shared" si="40"/>
        <v>1.0485073356596999E-2</v>
      </c>
      <c r="G510" s="1">
        <f t="shared" si="36"/>
        <v>2.4377795554088026E-2</v>
      </c>
      <c r="H510">
        <f t="shared" si="37"/>
        <v>2437.7795554088025</v>
      </c>
      <c r="I510">
        <f t="shared" si="38"/>
        <v>10902.081600106596</v>
      </c>
    </row>
    <row r="511" spans="1:9" x14ac:dyDescent="0.45">
      <c r="A511">
        <v>1.1475185601739213E-2</v>
      </c>
      <c r="B511">
        <f t="shared" si="35"/>
        <v>1.3167988459436295E-4</v>
      </c>
      <c r="E511">
        <f t="shared" si="39"/>
        <v>1.070445674180887E-4</v>
      </c>
      <c r="F511">
        <f t="shared" si="40"/>
        <v>1.0346234455979078E-2</v>
      </c>
      <c r="G511" s="1">
        <f t="shared" si="36"/>
        <v>2.4054995110151359E-2</v>
      </c>
      <c r="H511">
        <f t="shared" si="37"/>
        <v>2405.4995110151358</v>
      </c>
      <c r="I511">
        <f t="shared" si="38"/>
        <v>10757.720852944696</v>
      </c>
    </row>
    <row r="512" spans="1:9" x14ac:dyDescent="0.45">
      <c r="A512">
        <v>4.5819888327969238E-3</v>
      </c>
      <c r="B512">
        <f t="shared" si="35"/>
        <v>2.0994621663875718E-5</v>
      </c>
      <c r="E512">
        <f t="shared" si="39"/>
        <v>1.0827343687920058E-4</v>
      </c>
      <c r="F512">
        <f t="shared" si="40"/>
        <v>1.0405452266922403E-2</v>
      </c>
      <c r="G512" s="1">
        <f t="shared" si="36"/>
        <v>2.4192676520594588E-2</v>
      </c>
      <c r="H512">
        <f t="shared" si="37"/>
        <v>2419.2676520594587</v>
      </c>
      <c r="I512">
        <f t="shared" si="38"/>
        <v>10819.293851542518</v>
      </c>
    </row>
    <row r="513" spans="1:9" x14ac:dyDescent="0.45">
      <c r="A513">
        <v>-1.1919837561435997E-3</v>
      </c>
      <c r="B513">
        <f t="shared" si="35"/>
        <v>1.4208252749102047E-6</v>
      </c>
      <c r="E513">
        <f t="shared" si="39"/>
        <v>1.0390909360931439E-4</v>
      </c>
      <c r="F513">
        <f t="shared" si="40"/>
        <v>1.0193581000282207E-2</v>
      </c>
      <c r="G513" s="1">
        <f t="shared" si="36"/>
        <v>2.3700075825656131E-2</v>
      </c>
      <c r="H513">
        <f t="shared" si="37"/>
        <v>2370.0075825656131</v>
      </c>
      <c r="I513">
        <f t="shared" si="38"/>
        <v>10598.996123613313</v>
      </c>
    </row>
    <row r="514" spans="1:9" x14ac:dyDescent="0.45">
      <c r="A514">
        <v>-3.8494590626214631E-3</v>
      </c>
      <c r="B514">
        <f t="shared" si="35"/>
        <v>1.4818335074798514E-5</v>
      </c>
      <c r="E514">
        <f t="shared" si="39"/>
        <v>9.8781252325554373E-5</v>
      </c>
      <c r="F514">
        <f t="shared" si="40"/>
        <v>9.9388758079349375E-3</v>
      </c>
      <c r="G514" s="1">
        <f t="shared" si="36"/>
        <v>2.3107886253448732E-2</v>
      </c>
      <c r="H514">
        <f t="shared" si="37"/>
        <v>2310.7886253448733</v>
      </c>
      <c r="I514">
        <f t="shared" si="38"/>
        <v>10334.16089580886</v>
      </c>
    </row>
    <row r="515" spans="1:9" x14ac:dyDescent="0.45">
      <c r="A515">
        <v>-9.8580585472518578E-3</v>
      </c>
      <c r="B515">
        <f t="shared" ref="B515:B578" si="41">A515^2</f>
        <v>9.7181318321045416E-5</v>
      </c>
      <c r="E515">
        <f t="shared" si="39"/>
        <v>9.4582394578889199E-5</v>
      </c>
      <c r="F515">
        <f t="shared" si="40"/>
        <v>9.7253480441004889E-3</v>
      </c>
      <c r="G515" s="1">
        <f t="shared" si="36"/>
        <v>2.2611434202533639E-2</v>
      </c>
      <c r="H515">
        <f t="shared" si="37"/>
        <v>2261.1434202533637</v>
      </c>
      <c r="I515">
        <f t="shared" si="38"/>
        <v>10112.140789125793</v>
      </c>
    </row>
    <row r="516" spans="1:9" x14ac:dyDescent="0.45">
      <c r="A516">
        <v>-9.6026042228913866E-3</v>
      </c>
      <c r="B516">
        <f t="shared" si="41"/>
        <v>9.2210007861491487E-5</v>
      </c>
      <c r="E516">
        <f t="shared" si="39"/>
        <v>9.4711851663904081E-5</v>
      </c>
      <c r="F516">
        <f t="shared" si="40"/>
        <v>9.7320014212855556E-3</v>
      </c>
      <c r="G516" s="1">
        <f t="shared" si="36"/>
        <v>2.2626903304488917E-2</v>
      </c>
      <c r="H516">
        <f t="shared" si="37"/>
        <v>2262.6903304488919</v>
      </c>
      <c r="I516">
        <f t="shared" si="38"/>
        <v>10119.05878183037</v>
      </c>
    </row>
    <row r="517" spans="1:9" x14ac:dyDescent="0.45">
      <c r="A517">
        <v>-1.1819679457403254E-3</v>
      </c>
      <c r="B517">
        <f t="shared" si="41"/>
        <v>1.3970482247576048E-6</v>
      </c>
      <c r="E517">
        <f t="shared" si="39"/>
        <v>9.4585334841568877E-5</v>
      </c>
      <c r="F517">
        <f t="shared" si="40"/>
        <v>9.72549920783344E-3</v>
      </c>
      <c r="G517" s="1">
        <f t="shared" si="36"/>
        <v>2.261178565821275E-2</v>
      </c>
      <c r="H517">
        <f t="shared" si="37"/>
        <v>2261.1785658212752</v>
      </c>
      <c r="I517">
        <f t="shared" si="38"/>
        <v>10112.297964883708</v>
      </c>
    </row>
    <row r="518" spans="1:9" x14ac:dyDescent="0.45">
      <c r="A518">
        <v>-5.3100393415661529E-3</v>
      </c>
      <c r="B518">
        <f t="shared" si="41"/>
        <v>2.8196517808980304E-5</v>
      </c>
      <c r="E518">
        <f t="shared" si="39"/>
        <v>8.9918403718633098E-5</v>
      </c>
      <c r="F518">
        <f t="shared" si="40"/>
        <v>9.4825315036984239E-3</v>
      </c>
      <c r="G518" s="1">
        <f t="shared" si="36"/>
        <v>2.2046885746098838E-2</v>
      </c>
      <c r="H518">
        <f t="shared" si="37"/>
        <v>2204.6885746098837</v>
      </c>
      <c r="I518">
        <f t="shared" si="38"/>
        <v>9859.6670440896341</v>
      </c>
    </row>
    <row r="519" spans="1:9" x14ac:dyDescent="0.45">
      <c r="A519">
        <v>-4.0678742152522318E-3</v>
      </c>
      <c r="B519">
        <f t="shared" si="41"/>
        <v>1.654760063111396E-5</v>
      </c>
      <c r="E519">
        <f t="shared" si="39"/>
        <v>8.6829608593708366E-5</v>
      </c>
      <c r="F519">
        <f t="shared" si="40"/>
        <v>9.3182406383237586E-3</v>
      </c>
      <c r="G519" s="1">
        <f t="shared" si="36"/>
        <v>2.166490948410274E-2</v>
      </c>
      <c r="H519">
        <f t="shared" si="37"/>
        <v>2166.4909484102741</v>
      </c>
      <c r="I519">
        <f t="shared" si="38"/>
        <v>9688.8420665667254</v>
      </c>
    </row>
    <row r="520" spans="1:9" x14ac:dyDescent="0.45">
      <c r="A520">
        <v>1.6749891074141487E-2</v>
      </c>
      <c r="B520">
        <f t="shared" si="41"/>
        <v>2.8055885099560469E-4</v>
      </c>
      <c r="E520">
        <f t="shared" si="39"/>
        <v>8.3314875275074352E-5</v>
      </c>
      <c r="F520">
        <f t="shared" si="40"/>
        <v>9.1276982462762408E-3</v>
      </c>
      <c r="G520" s="1">
        <f t="shared" si="36"/>
        <v>2.1221898422592263E-2</v>
      </c>
      <c r="H520">
        <f t="shared" si="37"/>
        <v>2122.1898422592262</v>
      </c>
      <c r="I520">
        <f t="shared" si="38"/>
        <v>9490.7214969023717</v>
      </c>
    </row>
    <row r="521" spans="1:9" x14ac:dyDescent="0.45">
      <c r="A521">
        <v>1.6265903468593024E-2</v>
      </c>
      <c r="B521">
        <f t="shared" si="41"/>
        <v>2.6457961564958657E-4</v>
      </c>
      <c r="E521">
        <f t="shared" si="39"/>
        <v>9.3175438627047621E-5</v>
      </c>
      <c r="F521">
        <f t="shared" si="40"/>
        <v>9.6527425443263329E-3</v>
      </c>
      <c r="G521" s="1">
        <f t="shared" si="36"/>
        <v>2.2442626415558727E-2</v>
      </c>
      <c r="H521">
        <f t="shared" si="37"/>
        <v>2244.2626415558725</v>
      </c>
      <c r="I521">
        <f t="shared" si="38"/>
        <v>10036.647651764351</v>
      </c>
    </row>
    <row r="522" spans="1:9" x14ac:dyDescent="0.45">
      <c r="A522">
        <v>8.3937720773974434E-3</v>
      </c>
      <c r="B522">
        <f t="shared" si="41"/>
        <v>7.0455409687296988E-5</v>
      </c>
      <c r="E522">
        <f t="shared" si="39"/>
        <v>1.0174535717715899E-4</v>
      </c>
      <c r="F522">
        <f t="shared" si="40"/>
        <v>1.0086890362106599E-2</v>
      </c>
      <c r="G522" s="1">
        <f t="shared" si="36"/>
        <v>2.3452020091897844E-2</v>
      </c>
      <c r="H522">
        <f t="shared" si="37"/>
        <v>2345.2020091897843</v>
      </c>
      <c r="I522">
        <f t="shared" si="38"/>
        <v>10488.062227034889</v>
      </c>
    </row>
    <row r="523" spans="1:9" x14ac:dyDescent="0.45">
      <c r="A523">
        <v>-5.9245621741865762E-3</v>
      </c>
      <c r="B523">
        <f t="shared" si="41"/>
        <v>3.5100436955802371E-5</v>
      </c>
      <c r="E523">
        <f t="shared" si="39"/>
        <v>1.0017958032095452E-4</v>
      </c>
      <c r="F523">
        <f t="shared" si="40"/>
        <v>1.0008974988526773E-2</v>
      </c>
      <c r="G523" s="1">
        <f t="shared" si="36"/>
        <v>2.3270866848324748E-2</v>
      </c>
      <c r="H523">
        <f t="shared" si="37"/>
        <v>2327.0866848324749</v>
      </c>
      <c r="I523">
        <f t="shared" si="38"/>
        <v>10407.048033640085</v>
      </c>
    </row>
    <row r="524" spans="1:9" x14ac:dyDescent="0.45">
      <c r="A524">
        <v>3.2933257898548618E-3</v>
      </c>
      <c r="B524">
        <f t="shared" si="41"/>
        <v>1.0845994758123149E-5</v>
      </c>
      <c r="E524">
        <f t="shared" si="39"/>
        <v>9.692459110962923E-5</v>
      </c>
      <c r="F524">
        <f t="shared" si="40"/>
        <v>9.8450287510819003E-3</v>
      </c>
      <c r="G524" s="1">
        <f t="shared" si="36"/>
        <v>2.2889691846265419E-2</v>
      </c>
      <c r="H524">
        <f t="shared" si="37"/>
        <v>2288.9691846265418</v>
      </c>
      <c r="I524">
        <f t="shared" si="38"/>
        <v>10236.581390454428</v>
      </c>
    </row>
    <row r="525" spans="1:9" x14ac:dyDescent="0.45">
      <c r="A525">
        <v>-1.3827138900524005E-2</v>
      </c>
      <c r="B525">
        <f t="shared" si="41"/>
        <v>1.911897701743842E-4</v>
      </c>
      <c r="E525">
        <f t="shared" si="39"/>
        <v>9.2614995189053308E-5</v>
      </c>
      <c r="F525">
        <f t="shared" si="40"/>
        <v>9.6236684891497226E-3</v>
      </c>
      <c r="G525" s="1">
        <f t="shared" si="36"/>
        <v>2.2375029237273105E-2</v>
      </c>
      <c r="H525">
        <f t="shared" si="37"/>
        <v>2237.5029237273106</v>
      </c>
      <c r="I525">
        <f t="shared" si="38"/>
        <v>10006.417274617588</v>
      </c>
    </row>
    <row r="526" spans="1:9" x14ac:dyDescent="0.45">
      <c r="A526">
        <v>-1.3242197383078746E-2</v>
      </c>
      <c r="B526">
        <f t="shared" si="41"/>
        <v>1.753557915324176E-4</v>
      </c>
      <c r="E526">
        <f t="shared" si="39"/>
        <v>9.7542144448887078E-5</v>
      </c>
      <c r="F526">
        <f t="shared" si="40"/>
        <v>9.8763426656271434E-3</v>
      </c>
      <c r="G526" s="1">
        <f t="shared" si="36"/>
        <v>2.2962496697583112E-2</v>
      </c>
      <c r="H526">
        <f t="shared" si="37"/>
        <v>2296.249669758311</v>
      </c>
      <c r="I526">
        <f t="shared" si="38"/>
        <v>10269.140709782054</v>
      </c>
    </row>
    <row r="527" spans="1:9" x14ac:dyDescent="0.45">
      <c r="A527">
        <v>6.1337459555943497E-3</v>
      </c>
      <c r="B527">
        <f t="shared" si="41"/>
        <v>3.7622839447770044E-5</v>
      </c>
      <c r="E527">
        <f t="shared" si="39"/>
        <v>1.0143127247218507E-4</v>
      </c>
      <c r="F527">
        <f t="shared" si="40"/>
        <v>1.0071309372280502E-2</v>
      </c>
      <c r="G527" s="1">
        <f t="shared" si="36"/>
        <v>2.3415794290552169E-2</v>
      </c>
      <c r="H527">
        <f t="shared" si="37"/>
        <v>2341.5794290552171</v>
      </c>
      <c r="I527">
        <f t="shared" si="38"/>
        <v>10471.861556165224</v>
      </c>
    </row>
    <row r="528" spans="1:9" x14ac:dyDescent="0.45">
      <c r="A528">
        <v>1.9311210053274408E-2</v>
      </c>
      <c r="B528">
        <f t="shared" si="41"/>
        <v>3.7292283372168656E-4</v>
      </c>
      <c r="E528">
        <f t="shared" si="39"/>
        <v>9.8239894927271726E-5</v>
      </c>
      <c r="F528">
        <f t="shared" si="40"/>
        <v>9.9116040542019095E-3</v>
      </c>
      <c r="G528" s="1">
        <f t="shared" si="36"/>
        <v>2.3044479426019442E-2</v>
      </c>
      <c r="H528">
        <f t="shared" si="37"/>
        <v>2304.4479426019443</v>
      </c>
      <c r="I528">
        <f t="shared" si="38"/>
        <v>10305.804500534963</v>
      </c>
    </row>
    <row r="529" spans="1:9" x14ac:dyDescent="0.45">
      <c r="A529">
        <v>9.2377831606427208E-3</v>
      </c>
      <c r="B529">
        <f t="shared" si="41"/>
        <v>8.5336637723054212E-5</v>
      </c>
      <c r="E529">
        <f t="shared" si="39"/>
        <v>1.1197342962147139E-4</v>
      </c>
      <c r="F529">
        <f t="shared" si="40"/>
        <v>1.0581749837407393E-2</v>
      </c>
      <c r="G529" s="1">
        <f t="shared" si="36"/>
        <v>2.4602568371972191E-2</v>
      </c>
      <c r="H529">
        <f t="shared" si="37"/>
        <v>2460.2568371972193</v>
      </c>
      <c r="I529">
        <f t="shared" si="38"/>
        <v>11002.603060163232</v>
      </c>
    </row>
    <row r="530" spans="1:9" x14ac:dyDescent="0.45">
      <c r="A530">
        <v>1.3269800547277555E-2</v>
      </c>
      <c r="B530">
        <f t="shared" si="41"/>
        <v>1.760876065645277E-4</v>
      </c>
      <c r="E530">
        <f t="shared" si="39"/>
        <v>1.1063165388961705E-4</v>
      </c>
      <c r="F530">
        <f t="shared" si="40"/>
        <v>1.0518158293618567E-2</v>
      </c>
      <c r="G530" s="1">
        <f t="shared" si="36"/>
        <v>2.4454718032663168E-2</v>
      </c>
      <c r="H530">
        <f t="shared" si="37"/>
        <v>2445.4718032663168</v>
      </c>
      <c r="I530">
        <f t="shared" si="38"/>
        <v>10936.482378324954</v>
      </c>
    </row>
    <row r="531" spans="1:9" x14ac:dyDescent="0.45">
      <c r="A531">
        <v>-1.0204712452832609E-2</v>
      </c>
      <c r="B531">
        <f t="shared" si="41"/>
        <v>1.0413615624499693E-4</v>
      </c>
      <c r="E531">
        <f t="shared" si="39"/>
        <v>1.1390361248961992E-4</v>
      </c>
      <c r="F531">
        <f t="shared" si="40"/>
        <v>1.0672563538795162E-2</v>
      </c>
      <c r="G531" s="1">
        <f t="shared" si="36"/>
        <v>2.4813710227698755E-2</v>
      </c>
      <c r="H531">
        <f t="shared" si="37"/>
        <v>2481.3710227698757</v>
      </c>
      <c r="I531">
        <f t="shared" si="38"/>
        <v>11097.028568623242</v>
      </c>
    </row>
    <row r="532" spans="1:9" x14ac:dyDescent="0.45">
      <c r="A532">
        <v>-8.133315532177221E-3</v>
      </c>
      <c r="B532">
        <f t="shared" si="41"/>
        <v>6.615082154595523E-5</v>
      </c>
      <c r="E532">
        <f t="shared" si="39"/>
        <v>1.1340372261848396E-4</v>
      </c>
      <c r="F532">
        <f t="shared" si="40"/>
        <v>1.0649118396303234E-2</v>
      </c>
      <c r="G532" s="1">
        <f t="shared" si="36"/>
        <v>2.4759200271405022E-2</v>
      </c>
      <c r="H532">
        <f t="shared" si="37"/>
        <v>2475.920027140502</v>
      </c>
      <c r="I532">
        <f t="shared" si="38"/>
        <v>11072.650975078574</v>
      </c>
    </row>
    <row r="533" spans="1:9" x14ac:dyDescent="0.45">
      <c r="A533">
        <v>-6.2096432884573005E-3</v>
      </c>
      <c r="B533">
        <f t="shared" si="41"/>
        <v>3.8559669769882799E-5</v>
      </c>
      <c r="E533">
        <f t="shared" si="39"/>
        <v>1.1104074061445791E-4</v>
      </c>
      <c r="F533">
        <f t="shared" si="40"/>
        <v>1.0537587039472458E-2</v>
      </c>
      <c r="G533" s="1">
        <f t="shared" si="36"/>
        <v>2.4499889866773466E-2</v>
      </c>
      <c r="H533">
        <f t="shared" si="37"/>
        <v>2449.9889866773465</v>
      </c>
      <c r="I533">
        <f t="shared" si="38"/>
        <v>10956.683836672748</v>
      </c>
    </row>
    <row r="534" spans="1:9" x14ac:dyDescent="0.45">
      <c r="A534">
        <v>-1.146486283687409E-2</v>
      </c>
      <c r="B534">
        <f t="shared" si="41"/>
        <v>1.314430798683366E-4</v>
      </c>
      <c r="E534">
        <f t="shared" si="39"/>
        <v>1.0740817968280746E-4</v>
      </c>
      <c r="F534">
        <f t="shared" si="40"/>
        <v>1.0363791761841197E-2</v>
      </c>
      <c r="G534" s="1">
        <f t="shared" si="36"/>
        <v>2.4095815846280785E-2</v>
      </c>
      <c r="H534">
        <f t="shared" si="37"/>
        <v>2409.5815846280784</v>
      </c>
      <c r="I534">
        <f t="shared" si="38"/>
        <v>10775.976441120092</v>
      </c>
    </row>
    <row r="535" spans="1:9" x14ac:dyDescent="0.45">
      <c r="A535">
        <v>9.6768644652911462E-3</v>
      </c>
      <c r="B535">
        <f t="shared" si="41"/>
        <v>9.3641705879614505E-5</v>
      </c>
      <c r="E535">
        <f t="shared" si="39"/>
        <v>1.0860887815892843E-4</v>
      </c>
      <c r="F535">
        <f t="shared" si="40"/>
        <v>1.0421558336397126E-2</v>
      </c>
      <c r="G535" s="1">
        <f t="shared" si="36"/>
        <v>2.4230123132123322E-2</v>
      </c>
      <c r="H535">
        <f t="shared" si="37"/>
        <v>2423.0123132123322</v>
      </c>
      <c r="I535">
        <f t="shared" si="38"/>
        <v>10836.040485323574</v>
      </c>
    </row>
    <row r="536" spans="1:9" x14ac:dyDescent="0.45">
      <c r="A536">
        <v>-8.9577497419668362E-3</v>
      </c>
      <c r="B536">
        <f t="shared" si="41"/>
        <v>8.0241280439706918E-5</v>
      </c>
      <c r="E536">
        <f t="shared" si="39"/>
        <v>1.0785991265784021E-4</v>
      </c>
      <c r="F536">
        <f t="shared" si="40"/>
        <v>1.038556270299497E-2</v>
      </c>
      <c r="G536" s="1">
        <f t="shared" si="36"/>
        <v>2.4146433284463309E-2</v>
      </c>
      <c r="H536">
        <f t="shared" si="37"/>
        <v>2414.643328446331</v>
      </c>
      <c r="I536">
        <f t="shared" si="38"/>
        <v>10798.613247644696</v>
      </c>
    </row>
    <row r="537" spans="1:9" x14ac:dyDescent="0.45">
      <c r="A537">
        <v>-7.2240368353959639E-3</v>
      </c>
      <c r="B537">
        <f t="shared" si="41"/>
        <v>5.2186708199157736E-5</v>
      </c>
      <c r="E537">
        <f t="shared" si="39"/>
        <v>1.0646842181286502E-4</v>
      </c>
      <c r="F537">
        <f t="shared" si="40"/>
        <v>1.0318353638680205E-2</v>
      </c>
      <c r="G537" s="1">
        <f t="shared" ref="G537:G600" si="42">F537*$H$1</f>
        <v>2.3990172209931479E-2</v>
      </c>
      <c r="H537">
        <f t="shared" ref="H537:H600" si="43">G537*$H$2</f>
        <v>2399.0172209931479</v>
      </c>
      <c r="I537">
        <f t="shared" ref="I537:I600" si="44">H537*SQRT($H$3)</f>
        <v>10728.73117066663</v>
      </c>
    </row>
    <row r="538" spans="1:9" x14ac:dyDescent="0.45">
      <c r="A538">
        <v>4.7705952965770848E-3</v>
      </c>
      <c r="B538">
        <f t="shared" si="41"/>
        <v>2.2758579483723405E-5</v>
      </c>
      <c r="E538">
        <f t="shared" ref="E538:E601" si="45">(1-$E$1)*SUMPRODUCT($D$2:$D$151,B388:B537)</f>
        <v>1.0375277124179141E-4</v>
      </c>
      <c r="F538">
        <f t="shared" ref="F538:F601" si="46">SQRT(E538)</f>
        <v>1.0185910427732585E-2</v>
      </c>
      <c r="G538" s="1">
        <f t="shared" si="42"/>
        <v>2.368224174447826E-2</v>
      </c>
      <c r="H538">
        <f t="shared" si="43"/>
        <v>2368.224174447826</v>
      </c>
      <c r="I538">
        <f t="shared" si="44"/>
        <v>10591.02048004732</v>
      </c>
    </row>
    <row r="539" spans="1:9" x14ac:dyDescent="0.45">
      <c r="A539">
        <v>-5.1259576139273122E-3</v>
      </c>
      <c r="B539">
        <f t="shared" si="41"/>
        <v>2.6275441459779385E-5</v>
      </c>
      <c r="E539">
        <f t="shared" si="45"/>
        <v>9.9700232628980407E-5</v>
      </c>
      <c r="F539">
        <f t="shared" si="46"/>
        <v>9.9850003820220468E-3</v>
      </c>
      <c r="G539" s="1">
        <f t="shared" si="42"/>
        <v>2.3215125888201262E-2</v>
      </c>
      <c r="H539">
        <f t="shared" si="43"/>
        <v>2321.5125888201264</v>
      </c>
      <c r="I539">
        <f t="shared" si="44"/>
        <v>10382.119918446642</v>
      </c>
    </row>
    <row r="540" spans="1:9" x14ac:dyDescent="0.45">
      <c r="A540">
        <v>7.2837565312511288E-3</v>
      </c>
      <c r="B540">
        <f t="shared" si="41"/>
        <v>5.3053109206543475E-5</v>
      </c>
      <c r="E540">
        <f t="shared" si="45"/>
        <v>9.6024187614865363E-5</v>
      </c>
      <c r="F540">
        <f t="shared" si="46"/>
        <v>9.7991932124468981E-3</v>
      </c>
      <c r="G540" s="1">
        <f t="shared" si="42"/>
        <v>2.2783124218939039E-2</v>
      </c>
      <c r="H540">
        <f t="shared" si="43"/>
        <v>2278.3124218939038</v>
      </c>
      <c r="I540">
        <f t="shared" si="44"/>
        <v>10188.922898673898</v>
      </c>
    </row>
    <row r="541" spans="1:9" x14ac:dyDescent="0.45">
      <c r="A541">
        <v>-7.1556769398739561E-3</v>
      </c>
      <c r="B541">
        <f t="shared" si="41"/>
        <v>5.1203712467843909E-5</v>
      </c>
      <c r="E541">
        <f t="shared" si="45"/>
        <v>9.3874837624517357E-5</v>
      </c>
      <c r="F541">
        <f t="shared" si="46"/>
        <v>9.6889028080849975E-3</v>
      </c>
      <c r="G541" s="1">
        <f t="shared" si="42"/>
        <v>2.2526699028797621E-2</v>
      </c>
      <c r="H541">
        <f t="shared" si="43"/>
        <v>2252.669902879762</v>
      </c>
      <c r="I541">
        <f t="shared" si="44"/>
        <v>10074.246067413995</v>
      </c>
    </row>
    <row r="542" spans="1:9" x14ac:dyDescent="0.45">
      <c r="A542">
        <v>-6.7283394855621736E-3</v>
      </c>
      <c r="B542">
        <f t="shared" si="41"/>
        <v>4.5270552232975059E-5</v>
      </c>
      <c r="E542">
        <f t="shared" si="45"/>
        <v>9.1737643380340804E-5</v>
      </c>
      <c r="F542">
        <f t="shared" si="46"/>
        <v>9.5779769983196771E-3</v>
      </c>
      <c r="G542" s="1">
        <f t="shared" si="42"/>
        <v>2.2268796521093252E-2</v>
      </c>
      <c r="H542">
        <f t="shared" si="43"/>
        <v>2226.8796521093254</v>
      </c>
      <c r="I542">
        <f t="shared" si="44"/>
        <v>9958.9085596550703</v>
      </c>
    </row>
    <row r="543" spans="1:9" x14ac:dyDescent="0.45">
      <c r="A543">
        <v>-1.5425712263095193E-3</v>
      </c>
      <c r="B543">
        <f t="shared" si="41"/>
        <v>2.379525988238054E-6</v>
      </c>
      <c r="E543">
        <f t="shared" si="45"/>
        <v>8.9413379444197463E-5</v>
      </c>
      <c r="F543">
        <f t="shared" si="46"/>
        <v>9.4558648173605712E-3</v>
      </c>
      <c r="G543" s="1">
        <f t="shared" si="42"/>
        <v>2.1984885700363329E-2</v>
      </c>
      <c r="H543">
        <f t="shared" si="43"/>
        <v>2198.4885700363329</v>
      </c>
      <c r="I543">
        <f t="shared" si="44"/>
        <v>9831.9397807150963</v>
      </c>
    </row>
    <row r="544" spans="1:9" x14ac:dyDescent="0.45">
      <c r="A544">
        <v>-8.9703235062188469E-3</v>
      </c>
      <c r="B544">
        <f t="shared" si="41"/>
        <v>8.0466703806222393E-5</v>
      </c>
      <c r="E544">
        <f t="shared" si="45"/>
        <v>8.5061640768422213E-5</v>
      </c>
      <c r="F544">
        <f t="shared" si="46"/>
        <v>9.2228867914781552E-3</v>
      </c>
      <c r="G544" s="1">
        <f t="shared" si="42"/>
        <v>2.1443211790186711E-2</v>
      </c>
      <c r="H544">
        <f t="shared" si="43"/>
        <v>2144.321179018671</v>
      </c>
      <c r="I544">
        <f t="shared" si="44"/>
        <v>9589.6958437564881</v>
      </c>
    </row>
    <row r="545" spans="1:9" x14ac:dyDescent="0.45">
      <c r="A545">
        <v>6.8864665081491694E-4</v>
      </c>
      <c r="B545">
        <f t="shared" si="41"/>
        <v>4.7423420967860214E-7</v>
      </c>
      <c r="E545">
        <f t="shared" si="45"/>
        <v>8.4830476054625258E-5</v>
      </c>
      <c r="F545">
        <f t="shared" si="46"/>
        <v>9.2103461419549941E-3</v>
      </c>
      <c r="G545" s="1">
        <f t="shared" si="42"/>
        <v>2.1414054780045363E-2</v>
      </c>
      <c r="H545">
        <f t="shared" si="43"/>
        <v>2141.4054780045362</v>
      </c>
      <c r="I545">
        <f t="shared" si="44"/>
        <v>9576.6564324171486</v>
      </c>
    </row>
    <row r="546" spans="1:9" x14ac:dyDescent="0.45">
      <c r="A546">
        <v>5.7350689530721866E-3</v>
      </c>
      <c r="B546">
        <f t="shared" si="41"/>
        <v>3.2891015896492504E-5</v>
      </c>
      <c r="E546">
        <f t="shared" si="45"/>
        <v>8.0600699355352933E-5</v>
      </c>
      <c r="F546">
        <f t="shared" si="46"/>
        <v>8.9777892242663467E-3</v>
      </c>
      <c r="G546" s="1">
        <f t="shared" si="42"/>
        <v>2.0873359946419257E-2</v>
      </c>
      <c r="H546">
        <f t="shared" si="43"/>
        <v>2087.3359946419255</v>
      </c>
      <c r="I546">
        <f t="shared" si="44"/>
        <v>9334.8503518029647</v>
      </c>
    </row>
    <row r="547" spans="1:9" x14ac:dyDescent="0.45">
      <c r="A547">
        <v>-1.1952192835451569E-2</v>
      </c>
      <c r="B547">
        <f t="shared" si="41"/>
        <v>1.4285491357581982E-4</v>
      </c>
      <c r="E547">
        <f t="shared" si="45"/>
        <v>7.8215121969011248E-5</v>
      </c>
      <c r="F547">
        <f t="shared" si="46"/>
        <v>8.8439313638794849E-3</v>
      </c>
      <c r="G547" s="1">
        <f t="shared" si="42"/>
        <v>2.0562140421019805E-2</v>
      </c>
      <c r="H547">
        <f t="shared" si="43"/>
        <v>2056.2140421019803</v>
      </c>
      <c r="I547">
        <f t="shared" si="44"/>
        <v>9195.6687488592852</v>
      </c>
    </row>
    <row r="548" spans="1:9" x14ac:dyDescent="0.45">
      <c r="A548">
        <v>4.1377802517672535E-3</v>
      </c>
      <c r="B548">
        <f t="shared" si="41"/>
        <v>1.7121225411915076E-5</v>
      </c>
      <c r="E548">
        <f t="shared" si="45"/>
        <v>8.1442681795669032E-5</v>
      </c>
      <c r="F548">
        <f t="shared" si="46"/>
        <v>9.0245599225485251E-3</v>
      </c>
      <c r="G548" s="1">
        <f t="shared" si="42"/>
        <v>2.0982101819925322E-2</v>
      </c>
      <c r="H548">
        <f t="shared" si="43"/>
        <v>2098.2101819925319</v>
      </c>
      <c r="I548">
        <f t="shared" si="44"/>
        <v>9383.4811960350144</v>
      </c>
    </row>
    <row r="549" spans="1:9" x14ac:dyDescent="0.45">
      <c r="A549">
        <v>-3.3458604775660206E-3</v>
      </c>
      <c r="B549">
        <f t="shared" si="41"/>
        <v>1.1194782335338318E-5</v>
      </c>
      <c r="E549">
        <f t="shared" si="45"/>
        <v>7.8226470966289059E-5</v>
      </c>
      <c r="F549">
        <f t="shared" si="46"/>
        <v>8.8445729668700825E-3</v>
      </c>
      <c r="G549" s="1">
        <f t="shared" si="42"/>
        <v>2.0563632147972945E-2</v>
      </c>
      <c r="H549">
        <f t="shared" si="43"/>
        <v>2056.3632147972944</v>
      </c>
      <c r="I549">
        <f t="shared" si="44"/>
        <v>9196.3358694335038</v>
      </c>
    </row>
    <row r="550" spans="1:9" x14ac:dyDescent="0.45">
      <c r="A550">
        <v>-2.1869163902010769E-2</v>
      </c>
      <c r="B550">
        <f t="shared" si="41"/>
        <v>4.7826032977301087E-4</v>
      </c>
      <c r="E550">
        <f t="shared" si="45"/>
        <v>7.4868101135376578E-5</v>
      </c>
      <c r="F550">
        <f t="shared" si="46"/>
        <v>8.6526355022834844E-3</v>
      </c>
      <c r="G550" s="1">
        <f t="shared" si="42"/>
        <v>2.0117377542809102E-2</v>
      </c>
      <c r="H550">
        <f t="shared" si="43"/>
        <v>2011.7377542809102</v>
      </c>
      <c r="I550">
        <f t="shared" si="44"/>
        <v>8996.7647429497683</v>
      </c>
    </row>
    <row r="551" spans="1:9" x14ac:dyDescent="0.45">
      <c r="A551">
        <v>1.1562815416255035E-2</v>
      </c>
      <c r="B551">
        <f t="shared" si="41"/>
        <v>1.336987003503851E-4</v>
      </c>
      <c r="E551">
        <f t="shared" si="45"/>
        <v>9.5036660673705552E-5</v>
      </c>
      <c r="F551">
        <f t="shared" si="46"/>
        <v>9.7486748162868547E-3</v>
      </c>
      <c r="G551" s="1">
        <f t="shared" si="42"/>
        <v>2.2665668947866938E-2</v>
      </c>
      <c r="H551">
        <f t="shared" si="43"/>
        <v>2266.5668947866939</v>
      </c>
      <c r="I551">
        <f t="shared" si="44"/>
        <v>10136.395304587322</v>
      </c>
    </row>
    <row r="552" spans="1:9" x14ac:dyDescent="0.45">
      <c r="A552">
        <v>-1.5218120097415522E-2</v>
      </c>
      <c r="B552">
        <f t="shared" si="41"/>
        <v>2.3159117929936221E-4</v>
      </c>
      <c r="E552">
        <f t="shared" si="45"/>
        <v>9.6969725481523217E-5</v>
      </c>
      <c r="F552">
        <f t="shared" si="46"/>
        <v>9.8473207260413344E-3</v>
      </c>
      <c r="G552" s="1">
        <f t="shared" si="42"/>
        <v>2.2895020688046105E-2</v>
      </c>
      <c r="H552">
        <f t="shared" si="43"/>
        <v>2289.5020688046106</v>
      </c>
      <c r="I552">
        <f t="shared" si="44"/>
        <v>10238.96452094702</v>
      </c>
    </row>
    <row r="553" spans="1:9" x14ac:dyDescent="0.45">
      <c r="A553">
        <v>-9.2260734163573943E-3</v>
      </c>
      <c r="B553">
        <f t="shared" si="41"/>
        <v>8.5120430684016606E-5</v>
      </c>
      <c r="E553">
        <f t="shared" si="45"/>
        <v>1.0370079804045818E-4</v>
      </c>
      <c r="F553">
        <f t="shared" si="46"/>
        <v>1.0183358878113752E-2</v>
      </c>
      <c r="G553" s="1">
        <f t="shared" si="42"/>
        <v>2.3676309391614477E-2</v>
      </c>
      <c r="H553">
        <f t="shared" si="43"/>
        <v>2367.6309391614477</v>
      </c>
      <c r="I553">
        <f t="shared" si="44"/>
        <v>10588.367451193333</v>
      </c>
    </row>
    <row r="554" spans="1:9" x14ac:dyDescent="0.45">
      <c r="A554">
        <v>-4.9470600060885772E-3</v>
      </c>
      <c r="B554">
        <f t="shared" si="41"/>
        <v>2.4473402703841113E-5</v>
      </c>
      <c r="E554">
        <f t="shared" si="45"/>
        <v>1.027707596424966E-4</v>
      </c>
      <c r="F554">
        <f t="shared" si="46"/>
        <v>1.0137591412288059E-2</v>
      </c>
      <c r="G554" s="1">
        <f t="shared" si="42"/>
        <v>2.3569900033569739E-2</v>
      </c>
      <c r="H554">
        <f t="shared" si="43"/>
        <v>2356.9900033569738</v>
      </c>
      <c r="I554">
        <f t="shared" si="44"/>
        <v>10540.779739587302</v>
      </c>
    </row>
    <row r="555" spans="1:9" x14ac:dyDescent="0.45">
      <c r="A555">
        <v>-8.0448216976947151E-4</v>
      </c>
      <c r="B555">
        <f t="shared" si="41"/>
        <v>6.4719156147699677E-7</v>
      </c>
      <c r="E555">
        <f t="shared" si="45"/>
        <v>9.8855079171243822E-5</v>
      </c>
      <c r="F555">
        <f t="shared" si="46"/>
        <v>9.9425891583250995E-3</v>
      </c>
      <c r="G555" s="1">
        <f t="shared" si="42"/>
        <v>2.3116519793105857E-2</v>
      </c>
      <c r="H555">
        <f t="shared" si="43"/>
        <v>2311.6519793105858</v>
      </c>
      <c r="I555">
        <f t="shared" si="44"/>
        <v>10338.021932120815</v>
      </c>
    </row>
    <row r="556" spans="1:9" x14ac:dyDescent="0.45">
      <c r="A556">
        <v>1.2704504115390591E-2</v>
      </c>
      <c r="B556">
        <f t="shared" si="41"/>
        <v>1.6140442481797648E-4</v>
      </c>
      <c r="E556">
        <f t="shared" si="45"/>
        <v>9.3944050813281975E-5</v>
      </c>
      <c r="F556">
        <f t="shared" si="46"/>
        <v>9.6924739263658573E-3</v>
      </c>
      <c r="G556" s="1">
        <f t="shared" si="42"/>
        <v>2.2535001878800621E-2</v>
      </c>
      <c r="H556">
        <f t="shared" si="43"/>
        <v>2253.5001878800622</v>
      </c>
      <c r="I556">
        <f t="shared" si="44"/>
        <v>10077.959214816734</v>
      </c>
    </row>
    <row r="557" spans="1:9" x14ac:dyDescent="0.45">
      <c r="A557">
        <v>5.3038775149616413E-3</v>
      </c>
      <c r="B557">
        <f t="shared" si="41"/>
        <v>2.8131116693715677E-5</v>
      </c>
      <c r="E557">
        <f t="shared" si="45"/>
        <v>9.7316760861752049E-5</v>
      </c>
      <c r="F557">
        <f t="shared" si="46"/>
        <v>9.8649257909906272E-3</v>
      </c>
      <c r="G557" s="1">
        <f t="shared" si="42"/>
        <v>2.2935952464053212E-2</v>
      </c>
      <c r="H557">
        <f t="shared" si="43"/>
        <v>2293.5952464053212</v>
      </c>
      <c r="I557">
        <f t="shared" si="44"/>
        <v>10257.269767665357</v>
      </c>
    </row>
    <row r="558" spans="1:9" x14ac:dyDescent="0.45">
      <c r="A558">
        <v>-1.2801092452718876E-2</v>
      </c>
      <c r="B558">
        <f t="shared" si="41"/>
        <v>1.6386796798305617E-4</v>
      </c>
      <c r="E558">
        <f t="shared" si="45"/>
        <v>9.3856271878432681E-5</v>
      </c>
      <c r="F558">
        <f t="shared" si="46"/>
        <v>9.6879446673911532E-3</v>
      </c>
      <c r="G558" s="1">
        <f t="shared" si="42"/>
        <v>2.2524471351684432E-2</v>
      </c>
      <c r="H558">
        <f t="shared" si="43"/>
        <v>2252.4471351684433</v>
      </c>
      <c r="I558">
        <f t="shared" si="44"/>
        <v>10073.249819922594</v>
      </c>
    </row>
    <row r="559" spans="1:9" x14ac:dyDescent="0.45">
      <c r="A559">
        <v>5.0980588639504276E-3</v>
      </c>
      <c r="B559">
        <f t="shared" si="41"/>
        <v>2.5990204180303524E-5</v>
      </c>
      <c r="E559">
        <f t="shared" si="45"/>
        <v>9.735653003337729E-5</v>
      </c>
      <c r="F559">
        <f t="shared" si="46"/>
        <v>9.8669412703926273E-3</v>
      </c>
      <c r="G559" s="1">
        <f t="shared" si="42"/>
        <v>2.294063845366286E-2</v>
      </c>
      <c r="H559">
        <f t="shared" si="43"/>
        <v>2294.0638453662859</v>
      </c>
      <c r="I559">
        <f t="shared" si="44"/>
        <v>10259.365405927163</v>
      </c>
    </row>
    <row r="560" spans="1:9" x14ac:dyDescent="0.45">
      <c r="A560">
        <v>-2.9807210921717342E-3</v>
      </c>
      <c r="B560">
        <f t="shared" si="41"/>
        <v>8.8846982293174562E-6</v>
      </c>
      <c r="E560">
        <f t="shared" si="45"/>
        <v>9.3781944456568632E-5</v>
      </c>
      <c r="F560">
        <f t="shared" si="46"/>
        <v>9.6841078296644664E-3</v>
      </c>
      <c r="G560" s="1">
        <f t="shared" si="42"/>
        <v>2.2515550703969885E-2</v>
      </c>
      <c r="H560">
        <f t="shared" si="43"/>
        <v>2251.5550703969884</v>
      </c>
      <c r="I560">
        <f t="shared" si="44"/>
        <v>10069.260384983982</v>
      </c>
    </row>
    <row r="561" spans="1:9" x14ac:dyDescent="0.45">
      <c r="A561">
        <v>1.2035434338031337E-2</v>
      </c>
      <c r="B561">
        <f t="shared" si="41"/>
        <v>1.4485167970506381E-4</v>
      </c>
      <c r="E561">
        <f t="shared" si="45"/>
        <v>8.9532511666621259E-5</v>
      </c>
      <c r="F561">
        <f t="shared" si="46"/>
        <v>9.4621621031676078E-3</v>
      </c>
      <c r="G561" s="1">
        <f t="shared" si="42"/>
        <v>2.1999526889864691E-2</v>
      </c>
      <c r="H561">
        <f t="shared" si="43"/>
        <v>2199.9526889864692</v>
      </c>
      <c r="I561">
        <f t="shared" si="44"/>
        <v>9838.4875197143956</v>
      </c>
    </row>
    <row r="562" spans="1:9" x14ac:dyDescent="0.45">
      <c r="A562">
        <v>-7.329708751058206E-3</v>
      </c>
      <c r="B562">
        <f t="shared" si="41"/>
        <v>5.3724630375339245E-5</v>
      </c>
      <c r="E562">
        <f t="shared" si="45"/>
        <v>9.2297841990036857E-5</v>
      </c>
      <c r="F562">
        <f t="shared" si="46"/>
        <v>9.6071765878449882E-3</v>
      </c>
      <c r="G562" s="1">
        <f t="shared" si="42"/>
        <v>2.2336685566739598E-2</v>
      </c>
      <c r="H562">
        <f t="shared" si="43"/>
        <v>2233.6685566739598</v>
      </c>
      <c r="I562">
        <f t="shared" si="44"/>
        <v>9989.2694638536323</v>
      </c>
    </row>
    <row r="563" spans="1:9" x14ac:dyDescent="0.45">
      <c r="A563">
        <v>-8.2750375440809876E-4</v>
      </c>
      <c r="B563">
        <f t="shared" si="41"/>
        <v>6.8476246355949902E-7</v>
      </c>
      <c r="E563">
        <f t="shared" si="45"/>
        <v>9.0367202318793836E-5</v>
      </c>
      <c r="F563">
        <f t="shared" si="46"/>
        <v>9.5061665417135333E-3</v>
      </c>
      <c r="G563" s="1">
        <f t="shared" si="42"/>
        <v>2.2101837209483968E-2</v>
      </c>
      <c r="H563">
        <f t="shared" si="43"/>
        <v>2210.183720948397</v>
      </c>
      <c r="I563">
        <f t="shared" si="44"/>
        <v>9884.2420856080844</v>
      </c>
    </row>
    <row r="564" spans="1:9" x14ac:dyDescent="0.45">
      <c r="A564">
        <v>1.4584429663955234E-2</v>
      </c>
      <c r="B564">
        <f t="shared" si="41"/>
        <v>2.1270558862285737E-4</v>
      </c>
      <c r="E564">
        <f t="shared" si="45"/>
        <v>8.5871148741819214E-5</v>
      </c>
      <c r="F564">
        <f t="shared" si="46"/>
        <v>9.2666686971003345E-3</v>
      </c>
      <c r="G564" s="1">
        <f t="shared" si="42"/>
        <v>2.1545004720758279E-2</v>
      </c>
      <c r="H564">
        <f t="shared" si="43"/>
        <v>2154.5004720758279</v>
      </c>
      <c r="I564">
        <f t="shared" si="44"/>
        <v>9635.2190262338772</v>
      </c>
    </row>
    <row r="565" spans="1:9" x14ac:dyDescent="0.45">
      <c r="A565">
        <v>2.1089135771035217E-3</v>
      </c>
      <c r="B565">
        <f t="shared" si="41"/>
        <v>4.4475164756915718E-6</v>
      </c>
      <c r="E565">
        <f t="shared" si="45"/>
        <v>9.2212599304163849E-5</v>
      </c>
      <c r="F565">
        <f t="shared" si="46"/>
        <v>9.6027391563117993E-3</v>
      </c>
      <c r="G565" s="1">
        <f t="shared" si="42"/>
        <v>2.2326368538424936E-2</v>
      </c>
      <c r="H565">
        <f t="shared" si="43"/>
        <v>2232.6368538424936</v>
      </c>
      <c r="I565">
        <f t="shared" si="44"/>
        <v>9984.6555485261561</v>
      </c>
    </row>
    <row r="566" spans="1:9" x14ac:dyDescent="0.45">
      <c r="A566">
        <v>-2.7186047191207763E-3</v>
      </c>
      <c r="B566">
        <f t="shared" si="41"/>
        <v>7.3908116188257547E-6</v>
      </c>
      <c r="E566">
        <f t="shared" si="45"/>
        <v>8.78243356430842E-5</v>
      </c>
      <c r="F566">
        <f t="shared" si="46"/>
        <v>9.3714639007512687E-3</v>
      </c>
      <c r="G566" s="1">
        <f t="shared" si="42"/>
        <v>2.17886535692467E-2</v>
      </c>
      <c r="H566">
        <f t="shared" si="43"/>
        <v>2178.8653569246699</v>
      </c>
      <c r="I566">
        <f t="shared" si="44"/>
        <v>9744.1821038058079</v>
      </c>
    </row>
    <row r="567" spans="1:9" x14ac:dyDescent="0.45">
      <c r="A567">
        <v>-9.1965830506524071E-4</v>
      </c>
      <c r="B567">
        <f t="shared" si="41"/>
        <v>8.457713980754713E-7</v>
      </c>
      <c r="E567">
        <f t="shared" si="45"/>
        <v>8.3799533433942446E-5</v>
      </c>
      <c r="F567">
        <f t="shared" si="46"/>
        <v>9.1542085094202686E-3</v>
      </c>
      <c r="G567" s="1">
        <f t="shared" si="42"/>
        <v>2.1283534784402126E-2</v>
      </c>
      <c r="H567">
        <f t="shared" si="43"/>
        <v>2128.3534784402127</v>
      </c>
      <c r="I567">
        <f t="shared" si="44"/>
        <v>9518.2861158808973</v>
      </c>
    </row>
    <row r="568" spans="1:9" x14ac:dyDescent="0.45">
      <c r="A568">
        <v>7.3017190516111441E-3</v>
      </c>
      <c r="B568">
        <f t="shared" si="41"/>
        <v>5.3315101108661144E-5</v>
      </c>
      <c r="E568">
        <f t="shared" si="45"/>
        <v>7.9650588861065173E-5</v>
      </c>
      <c r="F568">
        <f t="shared" si="46"/>
        <v>8.9247178589054108E-3</v>
      </c>
      <c r="G568" s="1">
        <f t="shared" si="42"/>
        <v>2.074996902195508E-2</v>
      </c>
      <c r="H568">
        <f t="shared" si="43"/>
        <v>2074.996902195508</v>
      </c>
      <c r="I568">
        <f t="shared" si="44"/>
        <v>9279.6682528212768</v>
      </c>
    </row>
    <row r="569" spans="1:9" x14ac:dyDescent="0.45">
      <c r="A569">
        <v>7.563903636764735E-3</v>
      </c>
      <c r="B569">
        <f t="shared" si="41"/>
        <v>5.7212638226262781E-5</v>
      </c>
      <c r="E569">
        <f t="shared" si="45"/>
        <v>7.8333212915846192E-5</v>
      </c>
      <c r="F569">
        <f t="shared" si="46"/>
        <v>8.8506052287878143E-3</v>
      </c>
      <c r="G569" s="1">
        <f t="shared" si="42"/>
        <v>2.0577657156931668E-2</v>
      </c>
      <c r="H569">
        <f t="shared" si="43"/>
        <v>2057.7657156931668</v>
      </c>
      <c r="I569">
        <f t="shared" si="44"/>
        <v>9202.6080441168542</v>
      </c>
    </row>
    <row r="570" spans="1:9" x14ac:dyDescent="0.45">
      <c r="A570">
        <v>-1.3227509043645114E-2</v>
      </c>
      <c r="B570">
        <f t="shared" si="41"/>
        <v>1.7496699549971327E-4</v>
      </c>
      <c r="E570">
        <f t="shared" si="45"/>
        <v>7.7276993035854688E-5</v>
      </c>
      <c r="F570">
        <f t="shared" si="46"/>
        <v>8.7907333616629897E-3</v>
      </c>
      <c r="G570" s="1">
        <f t="shared" si="42"/>
        <v>2.0438455065866452E-2</v>
      </c>
      <c r="H570">
        <f t="shared" si="43"/>
        <v>2043.8455065866453</v>
      </c>
      <c r="I570">
        <f t="shared" si="44"/>
        <v>9140.3549764704676</v>
      </c>
    </row>
    <row r="571" spans="1:9" x14ac:dyDescent="0.45">
      <c r="A571">
        <v>-4.8926722229225561E-3</v>
      </c>
      <c r="B571">
        <f t="shared" si="41"/>
        <v>2.3938241480957948E-5</v>
      </c>
      <c r="E571">
        <f t="shared" si="45"/>
        <v>8.2159950537027612E-5</v>
      </c>
      <c r="F571">
        <f t="shared" si="46"/>
        <v>9.0642126264241837E-3</v>
      </c>
      <c r="G571" s="1">
        <f t="shared" si="42"/>
        <v>2.1074294356436228E-2</v>
      </c>
      <c r="H571">
        <f t="shared" si="43"/>
        <v>2107.429435643623</v>
      </c>
      <c r="I571">
        <f t="shared" si="44"/>
        <v>9424.7109517663193</v>
      </c>
    </row>
    <row r="572" spans="1:9" x14ac:dyDescent="0.45">
      <c r="A572">
        <v>-1.6784224499133416E-2</v>
      </c>
      <c r="B572">
        <f t="shared" si="41"/>
        <v>2.8171019203731033E-4</v>
      </c>
      <c r="E572">
        <f t="shared" si="45"/>
        <v>7.924800424386402E-5</v>
      </c>
      <c r="F572">
        <f t="shared" si="46"/>
        <v>8.9021348138446001E-3</v>
      </c>
      <c r="G572" s="1">
        <f t="shared" si="42"/>
        <v>2.0697463442188698E-2</v>
      </c>
      <c r="H572">
        <f t="shared" si="43"/>
        <v>2069.74634421887</v>
      </c>
      <c r="I572">
        <f t="shared" si="44"/>
        <v>9256.1870437101443</v>
      </c>
    </row>
    <row r="573" spans="1:9" x14ac:dyDescent="0.45">
      <c r="A573">
        <v>-1.5712203094153665E-3</v>
      </c>
      <c r="B573">
        <f t="shared" si="41"/>
        <v>2.46873326071932E-6</v>
      </c>
      <c r="E573">
        <f t="shared" si="45"/>
        <v>8.9368837781254718E-5</v>
      </c>
      <c r="F573">
        <f t="shared" si="46"/>
        <v>9.4535092839249241E-3</v>
      </c>
      <c r="G573" s="1">
        <f t="shared" si="42"/>
        <v>2.197940908512545E-2</v>
      </c>
      <c r="H573">
        <f t="shared" si="43"/>
        <v>2197.9409085125449</v>
      </c>
      <c r="I573">
        <f t="shared" si="44"/>
        <v>9829.490563923393</v>
      </c>
    </row>
    <row r="574" spans="1:9" x14ac:dyDescent="0.45">
      <c r="A574">
        <v>4.4009084376739338E-3</v>
      </c>
      <c r="B574">
        <f t="shared" si="41"/>
        <v>1.9367995076789626E-5</v>
      </c>
      <c r="E574">
        <f t="shared" si="45"/>
        <v>8.5023832543628061E-5</v>
      </c>
      <c r="F574">
        <f t="shared" si="46"/>
        <v>9.2208368678568468E-3</v>
      </c>
      <c r="G574" s="1">
        <f t="shared" si="42"/>
        <v>2.1438445717767169E-2</v>
      </c>
      <c r="H574">
        <f t="shared" si="43"/>
        <v>2143.8445717767167</v>
      </c>
      <c r="I574">
        <f t="shared" si="44"/>
        <v>9587.5643913733311</v>
      </c>
    </row>
    <row r="575" spans="1:9" x14ac:dyDescent="0.45">
      <c r="A575">
        <v>5.1215920393588021E-3</v>
      </c>
      <c r="B575">
        <f t="shared" si="41"/>
        <v>2.6230705017623455E-5</v>
      </c>
      <c r="E575">
        <f t="shared" si="45"/>
        <v>8.1739092451426002E-5</v>
      </c>
      <c r="F575">
        <f t="shared" si="46"/>
        <v>9.0409674510765724E-3</v>
      </c>
      <c r="G575" s="1">
        <f t="shared" si="42"/>
        <v>2.1020249323753033E-2</v>
      </c>
      <c r="H575">
        <f t="shared" si="43"/>
        <v>2102.0249323753033</v>
      </c>
      <c r="I575">
        <f t="shared" si="44"/>
        <v>9400.5412783811535</v>
      </c>
    </row>
    <row r="576" spans="1:9" x14ac:dyDescent="0.45">
      <c r="A576">
        <v>-1.1145993994432501E-2</v>
      </c>
      <c r="B576">
        <f t="shared" si="41"/>
        <v>1.2423318212392538E-4</v>
      </c>
      <c r="E576">
        <f t="shared" si="45"/>
        <v>7.8962178113655844E-5</v>
      </c>
      <c r="F576">
        <f t="shared" si="46"/>
        <v>8.8860665152617358E-3</v>
      </c>
      <c r="G576" s="1">
        <f t="shared" si="42"/>
        <v>2.0660104647983537E-2</v>
      </c>
      <c r="H576">
        <f t="shared" si="43"/>
        <v>2066.0104647983535</v>
      </c>
      <c r="I576">
        <f t="shared" si="44"/>
        <v>9239.4796830301093</v>
      </c>
    </row>
    <row r="577" spans="1:9" x14ac:dyDescent="0.45">
      <c r="A577">
        <v>6.1735022427455988E-3</v>
      </c>
      <c r="B577">
        <f t="shared" si="41"/>
        <v>3.8112129941184938E-5</v>
      </c>
      <c r="E577">
        <f t="shared" si="45"/>
        <v>8.1224810844436469E-5</v>
      </c>
      <c r="F577">
        <f t="shared" si="46"/>
        <v>9.0124808373963534E-3</v>
      </c>
      <c r="G577" s="1">
        <f t="shared" si="42"/>
        <v>2.0954017946946523E-2</v>
      </c>
      <c r="H577">
        <f t="shared" si="43"/>
        <v>2095.4017946946524</v>
      </c>
      <c r="I577">
        <f t="shared" si="44"/>
        <v>9370.9217062246025</v>
      </c>
    </row>
    <row r="578" spans="1:9" x14ac:dyDescent="0.45">
      <c r="A578">
        <v>-3.7384779716376215E-3</v>
      </c>
      <c r="B578">
        <f t="shared" si="41"/>
        <v>1.3976217544419744E-5</v>
      </c>
      <c r="E578">
        <f t="shared" si="45"/>
        <v>7.9068663610181789E-5</v>
      </c>
      <c r="F578">
        <f t="shared" si="46"/>
        <v>8.8920562082221329E-3</v>
      </c>
      <c r="G578" s="1">
        <f t="shared" si="42"/>
        <v>2.0674030684116461E-2</v>
      </c>
      <c r="H578">
        <f t="shared" si="43"/>
        <v>2067.403068411646</v>
      </c>
      <c r="I578">
        <f t="shared" si="44"/>
        <v>9245.7075957201778</v>
      </c>
    </row>
    <row r="579" spans="1:9" x14ac:dyDescent="0.45">
      <c r="A579">
        <v>-5.7368652051081881E-3</v>
      </c>
      <c r="B579">
        <f t="shared" ref="B579:B642" si="47">A579^2</f>
        <v>3.2911622381581016E-5</v>
      </c>
      <c r="E579">
        <f t="shared" si="45"/>
        <v>7.5810388605072757E-5</v>
      </c>
      <c r="F579">
        <f t="shared" si="46"/>
        <v>8.70691613632937E-3</v>
      </c>
      <c r="G579" s="1">
        <f t="shared" si="42"/>
        <v>2.0243580016965787E-2</v>
      </c>
      <c r="H579">
        <f t="shared" si="43"/>
        <v>2024.3580016965786</v>
      </c>
      <c r="I579">
        <f t="shared" si="44"/>
        <v>9053.2042051783701</v>
      </c>
    </row>
    <row r="580" spans="1:9" x14ac:dyDescent="0.45">
      <c r="A580">
        <v>-1.5905811778793577E-3</v>
      </c>
      <c r="B580">
        <f t="shared" si="47"/>
        <v>2.5299484834240852E-6</v>
      </c>
      <c r="E580">
        <f t="shared" si="45"/>
        <v>7.3664391222431517E-5</v>
      </c>
      <c r="F580">
        <f t="shared" si="46"/>
        <v>8.5827962356350689E-3</v>
      </c>
      <c r="G580" s="1">
        <f t="shared" si="42"/>
        <v>1.9955001247851538E-2</v>
      </c>
      <c r="H580">
        <f t="shared" si="43"/>
        <v>1995.5001247851537</v>
      </c>
      <c r="I580">
        <f t="shared" si="44"/>
        <v>8924.1478562578341</v>
      </c>
    </row>
    <row r="581" spans="1:9" x14ac:dyDescent="0.45">
      <c r="A581">
        <v>4.135279141337378E-3</v>
      </c>
      <c r="B581">
        <f t="shared" si="47"/>
        <v>1.7100533576780001E-5</v>
      </c>
      <c r="E581">
        <f t="shared" si="45"/>
        <v>7.0106820348781794E-5</v>
      </c>
      <c r="F581">
        <f t="shared" si="46"/>
        <v>8.3729815686398E-3</v>
      </c>
      <c r="G581" s="1">
        <f t="shared" si="42"/>
        <v>1.9467182147087536E-2</v>
      </c>
      <c r="H581">
        <f t="shared" si="43"/>
        <v>1946.7182147087535</v>
      </c>
      <c r="I581">
        <f t="shared" si="44"/>
        <v>8705.9885222516077</v>
      </c>
    </row>
    <row r="582" spans="1:9" x14ac:dyDescent="0.45">
      <c r="A582">
        <v>1.4004399417899549E-2</v>
      </c>
      <c r="B582">
        <f t="shared" si="47"/>
        <v>1.9612320305606521E-4</v>
      </c>
      <c r="E582">
        <f t="shared" si="45"/>
        <v>6.7456468293633227E-5</v>
      </c>
      <c r="F582">
        <f t="shared" si="46"/>
        <v>8.2131886800214954E-3</v>
      </c>
      <c r="G582" s="1">
        <f t="shared" si="42"/>
        <v>1.9095663681049979E-2</v>
      </c>
      <c r="H582">
        <f t="shared" si="43"/>
        <v>1909.566368104998</v>
      </c>
      <c r="I582">
        <f t="shared" si="44"/>
        <v>8539.8404132603246</v>
      </c>
    </row>
    <row r="583" spans="1:9" x14ac:dyDescent="0.45">
      <c r="A583">
        <v>1.2941200111526996E-2</v>
      </c>
      <c r="B583">
        <f t="shared" si="47"/>
        <v>1.6747466032658633E-4</v>
      </c>
      <c r="E583">
        <f t="shared" si="45"/>
        <v>7.3888878606377168E-5</v>
      </c>
      <c r="F583">
        <f t="shared" si="46"/>
        <v>8.5958640407103448E-3</v>
      </c>
      <c r="G583" s="1">
        <f t="shared" si="42"/>
        <v>1.9985383894651553E-2</v>
      </c>
      <c r="H583">
        <f t="shared" si="43"/>
        <v>1998.5383894651552</v>
      </c>
      <c r="I583">
        <f t="shared" si="44"/>
        <v>8937.7353889740734</v>
      </c>
    </row>
    <row r="584" spans="1:9" x14ac:dyDescent="0.45">
      <c r="A584">
        <v>7.4080617196159437E-4</v>
      </c>
      <c r="B584">
        <f t="shared" si="47"/>
        <v>5.4879378441639128E-7</v>
      </c>
      <c r="E584">
        <f t="shared" si="45"/>
        <v>7.8557059843232353E-5</v>
      </c>
      <c r="F584">
        <f t="shared" si="46"/>
        <v>8.8632420616404448E-3</v>
      </c>
      <c r="G584" s="1">
        <f t="shared" si="42"/>
        <v>2.0607037793314034E-2</v>
      </c>
      <c r="H584">
        <f t="shared" si="43"/>
        <v>2060.7037793314034</v>
      </c>
      <c r="I584">
        <f t="shared" si="44"/>
        <v>9215.7474641514891</v>
      </c>
    </row>
    <row r="585" spans="1:9" x14ac:dyDescent="0.45">
      <c r="A585">
        <v>1.0561439012235496E-2</v>
      </c>
      <c r="B585">
        <f t="shared" si="47"/>
        <v>1.115439940091699E-4</v>
      </c>
      <c r="E585">
        <f t="shared" si="45"/>
        <v>7.4644311428395508E-5</v>
      </c>
      <c r="F585">
        <f t="shared" si="46"/>
        <v>8.6396939429817486E-3</v>
      </c>
      <c r="G585" s="1">
        <f t="shared" si="42"/>
        <v>2.0087288417432566E-2</v>
      </c>
      <c r="H585">
        <f t="shared" si="43"/>
        <v>2008.7288417432567</v>
      </c>
      <c r="I585">
        <f t="shared" si="44"/>
        <v>8983.3084770046789</v>
      </c>
    </row>
    <row r="586" spans="1:9" x14ac:dyDescent="0.45">
      <c r="A586">
        <v>1.6762351151555777E-2</v>
      </c>
      <c r="B586">
        <f t="shared" si="47"/>
        <v>2.8097641612806327E-4</v>
      </c>
      <c r="E586">
        <f t="shared" si="45"/>
        <v>7.6489263943000749E-5</v>
      </c>
      <c r="F586">
        <f t="shared" si="46"/>
        <v>8.7458140812048338E-3</v>
      </c>
      <c r="G586" s="1">
        <f t="shared" si="42"/>
        <v>2.0334017738801242E-2</v>
      </c>
      <c r="H586">
        <f t="shared" si="43"/>
        <v>2033.4017738801242</v>
      </c>
      <c r="I586">
        <f t="shared" si="44"/>
        <v>9093.6491839292285</v>
      </c>
    </row>
    <row r="587" spans="1:9" x14ac:dyDescent="0.45">
      <c r="A587">
        <v>1.0453823051648214E-2</v>
      </c>
      <c r="B587">
        <f t="shared" si="47"/>
        <v>1.0928241639517159E-4</v>
      </c>
      <c r="E587">
        <f t="shared" si="45"/>
        <v>8.6710603574132096E-5</v>
      </c>
      <c r="F587">
        <f t="shared" si="46"/>
        <v>9.3118528539776705E-3</v>
      </c>
      <c r="G587" s="1">
        <f t="shared" si="42"/>
        <v>2.1650057885498085E-2</v>
      </c>
      <c r="H587">
        <f t="shared" si="43"/>
        <v>2165.0057885498086</v>
      </c>
      <c r="I587">
        <f t="shared" si="44"/>
        <v>9682.2002297558156</v>
      </c>
    </row>
    <row r="588" spans="1:9" x14ac:dyDescent="0.45">
      <c r="A588">
        <v>9.3272319645620883E-3</v>
      </c>
      <c r="B588">
        <f t="shared" si="47"/>
        <v>8.6997256120748749E-5</v>
      </c>
      <c r="E588">
        <f t="shared" si="45"/>
        <v>8.7838474556211176E-5</v>
      </c>
      <c r="F588">
        <f t="shared" si="46"/>
        <v>9.3722182302916519E-3</v>
      </c>
      <c r="G588" s="1">
        <f t="shared" si="42"/>
        <v>2.1790407385428093E-2</v>
      </c>
      <c r="H588">
        <f t="shared" si="43"/>
        <v>2179.0407385428093</v>
      </c>
      <c r="I588">
        <f t="shared" si="44"/>
        <v>9744.9664342461365</v>
      </c>
    </row>
    <row r="589" spans="1:9" x14ac:dyDescent="0.45">
      <c r="A589">
        <v>3.5667426345753483E-3</v>
      </c>
      <c r="B589">
        <f t="shared" si="47"/>
        <v>1.2721653021297497E-5</v>
      </c>
      <c r="E589">
        <f t="shared" si="45"/>
        <v>8.7795629041183761E-5</v>
      </c>
      <c r="F589">
        <f t="shared" si="46"/>
        <v>9.3699321791133449E-3</v>
      </c>
      <c r="G589" s="1">
        <f t="shared" si="42"/>
        <v>2.1785092316438527E-2</v>
      </c>
      <c r="H589">
        <f t="shared" si="43"/>
        <v>2178.5092316438527</v>
      </c>
      <c r="I589">
        <f t="shared" si="44"/>
        <v>9742.5894631329811</v>
      </c>
    </row>
    <row r="590" spans="1:9" x14ac:dyDescent="0.45">
      <c r="A590">
        <v>-5.8572368288878351E-3</v>
      </c>
      <c r="B590">
        <f t="shared" si="47"/>
        <v>3.4307223269680022E-5</v>
      </c>
      <c r="E590">
        <f t="shared" si="45"/>
        <v>8.4041482290095885E-5</v>
      </c>
      <c r="F590">
        <f t="shared" si="46"/>
        <v>9.1674141550437162E-3</v>
      </c>
      <c r="G590" s="1">
        <f t="shared" si="42"/>
        <v>2.1314237910476642E-2</v>
      </c>
      <c r="H590">
        <f t="shared" si="43"/>
        <v>2131.4237910476641</v>
      </c>
      <c r="I590">
        <f t="shared" si="44"/>
        <v>9532.0169712857696</v>
      </c>
    </row>
    <row r="591" spans="1:9" x14ac:dyDescent="0.45">
      <c r="A591">
        <v>7.2260263550560921E-3</v>
      </c>
      <c r="B591">
        <f t="shared" si="47"/>
        <v>5.2215456883965232E-5</v>
      </c>
      <c r="E591">
        <f t="shared" si="45"/>
        <v>8.1554766399545415E-5</v>
      </c>
      <c r="F591">
        <f t="shared" si="46"/>
        <v>9.0307677635705717E-3</v>
      </c>
      <c r="G591" s="1">
        <f t="shared" si="42"/>
        <v>2.0996535050301579E-2</v>
      </c>
      <c r="H591">
        <f t="shared" si="43"/>
        <v>2099.6535050301577</v>
      </c>
      <c r="I591">
        <f t="shared" si="44"/>
        <v>9389.9359328862593</v>
      </c>
    </row>
    <row r="592" spans="1:9" x14ac:dyDescent="0.45">
      <c r="A592">
        <v>3.0183286980900448E-3</v>
      </c>
      <c r="B592">
        <f t="shared" si="47"/>
        <v>9.1103081297139446E-6</v>
      </c>
      <c r="E592">
        <f t="shared" si="45"/>
        <v>8.0086419457738893E-5</v>
      </c>
      <c r="F592">
        <f t="shared" si="46"/>
        <v>8.9491016005931508E-3</v>
      </c>
      <c r="G592" s="1">
        <f t="shared" si="42"/>
        <v>2.0806661221379079E-2</v>
      </c>
      <c r="H592">
        <f t="shared" si="43"/>
        <v>2080.6661221379077</v>
      </c>
      <c r="I592">
        <f t="shared" si="44"/>
        <v>9305.0217751624841</v>
      </c>
    </row>
    <row r="593" spans="1:9" x14ac:dyDescent="0.45">
      <c r="A593">
        <v>-1.7212369129993021E-2</v>
      </c>
      <c r="B593">
        <f t="shared" si="47"/>
        <v>2.9626565106713671E-4</v>
      </c>
      <c r="E593">
        <f t="shared" si="45"/>
        <v>7.6528986856136478E-5</v>
      </c>
      <c r="F593">
        <f t="shared" si="46"/>
        <v>8.7480847535981541E-3</v>
      </c>
      <c r="G593" s="1">
        <f t="shared" si="42"/>
        <v>2.033929705211571E-2</v>
      </c>
      <c r="H593">
        <f t="shared" si="43"/>
        <v>2033.929705211571</v>
      </c>
      <c r="I593">
        <f t="shared" si="44"/>
        <v>9096.010164618363</v>
      </c>
    </row>
    <row r="594" spans="1:9" x14ac:dyDescent="0.45">
      <c r="A594">
        <v>1.4628767530666664E-3</v>
      </c>
      <c r="B594">
        <f t="shared" si="47"/>
        <v>2.1400083946628723E-6</v>
      </c>
      <c r="E594">
        <f t="shared" si="45"/>
        <v>8.7515446680673045E-5</v>
      </c>
      <c r="F594">
        <f t="shared" si="46"/>
        <v>9.354969090310937E-3</v>
      </c>
      <c r="G594" s="1">
        <f t="shared" si="42"/>
        <v>2.1750303134972931E-2</v>
      </c>
      <c r="H594">
        <f t="shared" si="43"/>
        <v>2175.0303134972933</v>
      </c>
      <c r="I594">
        <f t="shared" si="44"/>
        <v>9727.0312682052518</v>
      </c>
    </row>
    <row r="595" spans="1:9" x14ac:dyDescent="0.45">
      <c r="A595">
        <v>1.4306488083093427E-2</v>
      </c>
      <c r="B595">
        <f t="shared" si="47"/>
        <v>2.0467560127169425E-4</v>
      </c>
      <c r="E595">
        <f t="shared" si="45"/>
        <v>8.3246544850152485E-5</v>
      </c>
      <c r="F595">
        <f t="shared" si="46"/>
        <v>9.1239544524374123E-3</v>
      </c>
      <c r="G595" s="1">
        <f t="shared" si="42"/>
        <v>2.1213194101916986E-2</v>
      </c>
      <c r="H595">
        <f t="shared" si="43"/>
        <v>2121.3194101916988</v>
      </c>
      <c r="I595">
        <f t="shared" si="44"/>
        <v>9486.8288063567979</v>
      </c>
    </row>
    <row r="596" spans="1:9" x14ac:dyDescent="0.45">
      <c r="A596">
        <v>7.2478997026337311E-3</v>
      </c>
      <c r="B596">
        <f t="shared" si="47"/>
        <v>5.2532050099438125E-5</v>
      </c>
      <c r="E596">
        <f t="shared" si="45"/>
        <v>8.9316342261720711E-5</v>
      </c>
      <c r="F596">
        <f t="shared" si="46"/>
        <v>9.4507323664211711E-3</v>
      </c>
      <c r="G596" s="1">
        <f t="shared" si="42"/>
        <v>2.1972952751929224E-2</v>
      </c>
      <c r="H596">
        <f t="shared" si="43"/>
        <v>2197.2952751929224</v>
      </c>
      <c r="I596">
        <f t="shared" si="44"/>
        <v>9826.6032039409638</v>
      </c>
    </row>
    <row r="597" spans="1:9" x14ac:dyDescent="0.45">
      <c r="A597">
        <v>1.2690793482761364E-2</v>
      </c>
      <c r="B597">
        <f t="shared" si="47"/>
        <v>1.6105623922209832E-4</v>
      </c>
      <c r="E597">
        <f t="shared" si="45"/>
        <v>8.7476631143946893E-5</v>
      </c>
      <c r="F597">
        <f t="shared" si="46"/>
        <v>9.3528942656242453E-3</v>
      </c>
      <c r="G597" s="1">
        <f t="shared" si="42"/>
        <v>2.1745479167576371E-2</v>
      </c>
      <c r="H597">
        <f t="shared" si="43"/>
        <v>2174.5479167576373</v>
      </c>
      <c r="I597">
        <f t="shared" si="44"/>
        <v>9724.8739244012631</v>
      </c>
    </row>
    <row r="598" spans="1:9" x14ac:dyDescent="0.45">
      <c r="A598">
        <v>2.6670477382140234E-3</v>
      </c>
      <c r="B598">
        <f t="shared" si="47"/>
        <v>7.1131436379125377E-6</v>
      </c>
      <c r="E598">
        <f t="shared" si="45"/>
        <v>9.1155286030197673E-5</v>
      </c>
      <c r="F598">
        <f t="shared" si="46"/>
        <v>9.5475277444057559E-3</v>
      </c>
      <c r="G598" s="1">
        <f t="shared" si="42"/>
        <v>2.2198002005743383E-2</v>
      </c>
      <c r="H598">
        <f t="shared" si="43"/>
        <v>2219.8002005743383</v>
      </c>
      <c r="I598">
        <f t="shared" si="44"/>
        <v>9927.2482899037768</v>
      </c>
    </row>
    <row r="599" spans="1:9" x14ac:dyDescent="0.45">
      <c r="A599">
        <v>-1.5263140085153282E-3</v>
      </c>
      <c r="B599">
        <f t="shared" si="47"/>
        <v>2.3296344525901293E-6</v>
      </c>
      <c r="E599">
        <f t="shared" si="45"/>
        <v>8.6953177898653063E-5</v>
      </c>
      <c r="F599">
        <f t="shared" si="46"/>
        <v>9.3248687872083784E-3</v>
      </c>
      <c r="G599" s="1">
        <f t="shared" si="42"/>
        <v>2.1680319930259481E-2</v>
      </c>
      <c r="H599">
        <f t="shared" si="43"/>
        <v>2168.0319930259479</v>
      </c>
      <c r="I599">
        <f t="shared" si="44"/>
        <v>9695.7338276007395</v>
      </c>
    </row>
    <row r="600" spans="1:9" x14ac:dyDescent="0.45">
      <c r="A600">
        <v>7.2777766035869718E-3</v>
      </c>
      <c r="B600">
        <f t="shared" si="47"/>
        <v>5.2966032291717918E-5</v>
      </c>
      <c r="E600">
        <f t="shared" si="45"/>
        <v>8.2718238662143206E-5</v>
      </c>
      <c r="F600">
        <f t="shared" si="46"/>
        <v>9.0949567707682491E-3</v>
      </c>
      <c r="G600" s="1">
        <f t="shared" si="42"/>
        <v>2.1145774492036182E-2</v>
      </c>
      <c r="H600">
        <f t="shared" si="43"/>
        <v>2114.577449203618</v>
      </c>
      <c r="I600">
        <f t="shared" si="44"/>
        <v>9456.6778402147975</v>
      </c>
    </row>
    <row r="601" spans="1:9" x14ac:dyDescent="0.45">
      <c r="A601">
        <v>5.2151563068036921E-3</v>
      </c>
      <c r="B601">
        <f t="shared" si="47"/>
        <v>2.7197855304394327E-5</v>
      </c>
      <c r="E601">
        <f t="shared" si="45"/>
        <v>8.1229034724145723E-5</v>
      </c>
      <c r="F601">
        <f t="shared" si="46"/>
        <v>9.0127151693674273E-3</v>
      </c>
      <c r="G601" s="1">
        <f t="shared" ref="G601:G664" si="48">F601*$H$1</f>
        <v>2.0954562768779269E-2</v>
      </c>
      <c r="H601">
        <f t="shared" ref="H601:H664" si="49">G601*$H$2</f>
        <v>2095.4562768779269</v>
      </c>
      <c r="I601">
        <f t="shared" ref="I601:I664" si="50">H601*SQRT($H$3)</f>
        <v>9371.1653579553313</v>
      </c>
    </row>
    <row r="602" spans="1:9" x14ac:dyDescent="0.45">
      <c r="A602">
        <v>-1.3107182894600555E-3</v>
      </c>
      <c r="B602">
        <f t="shared" si="47"/>
        <v>1.7179824343250939E-6</v>
      </c>
      <c r="E602">
        <f t="shared" ref="E602:E665" si="51">(1-$E$1)*SUMPRODUCT($D$2:$D$151,B452:B601)</f>
        <v>7.8527391240444829E-5</v>
      </c>
      <c r="F602">
        <f t="shared" ref="F602:F665" si="52">SQRT(E602)</f>
        <v>8.8615682156402108E-3</v>
      </c>
      <c r="G602" s="1">
        <f t="shared" si="48"/>
        <v>2.0603146101363493E-2</v>
      </c>
      <c r="H602">
        <f t="shared" si="49"/>
        <v>2060.3146101363495</v>
      </c>
      <c r="I602">
        <f t="shared" si="50"/>
        <v>9214.0070466017096</v>
      </c>
    </row>
    <row r="603" spans="1:9" x14ac:dyDescent="0.45">
      <c r="A603">
        <v>-8.50088781589875E-3</v>
      </c>
      <c r="B603">
        <f t="shared" si="47"/>
        <v>7.2265093658495822E-5</v>
      </c>
      <c r="E603">
        <f t="shared" si="51"/>
        <v>7.4674681725524092E-5</v>
      </c>
      <c r="F603">
        <f t="shared" si="52"/>
        <v>8.6414513668436558E-3</v>
      </c>
      <c r="G603" s="1">
        <f t="shared" si="48"/>
        <v>2.00913744279115E-2</v>
      </c>
      <c r="H603">
        <f t="shared" si="49"/>
        <v>2009.1374427911501</v>
      </c>
      <c r="I603">
        <f t="shared" si="50"/>
        <v>8985.1357964422132</v>
      </c>
    </row>
    <row r="604" spans="1:9" x14ac:dyDescent="0.45">
      <c r="A604">
        <v>1.4172769624565262E-3</v>
      </c>
      <c r="B604">
        <f t="shared" si="47"/>
        <v>2.0086739883099976E-6</v>
      </c>
      <c r="E604">
        <f t="shared" si="51"/>
        <v>7.4550754425392501E-5</v>
      </c>
      <c r="F604">
        <f t="shared" si="52"/>
        <v>8.6342778751550796E-3</v>
      </c>
      <c r="G604" s="1">
        <f t="shared" si="48"/>
        <v>2.0074696059735563E-2</v>
      </c>
      <c r="H604">
        <f t="shared" si="49"/>
        <v>2007.4696059735563</v>
      </c>
      <c r="I604">
        <f t="shared" si="50"/>
        <v>8977.6770034431793</v>
      </c>
    </row>
    <row r="605" spans="1:9" x14ac:dyDescent="0.45">
      <c r="A605">
        <v>-3.4666527426452376E-3</v>
      </c>
      <c r="B605">
        <f t="shared" si="47"/>
        <v>1.2017681238089748E-5</v>
      </c>
      <c r="E605">
        <f t="shared" si="51"/>
        <v>7.0903575474372306E-5</v>
      </c>
      <c r="F605">
        <f t="shared" si="52"/>
        <v>8.420426086272137E-3</v>
      </c>
      <c r="G605" s="1">
        <f t="shared" si="48"/>
        <v>1.9577490650582719E-2</v>
      </c>
      <c r="H605">
        <f t="shared" si="49"/>
        <v>1957.749065058272</v>
      </c>
      <c r="I605">
        <f t="shared" si="50"/>
        <v>8755.3199847139094</v>
      </c>
    </row>
    <row r="606" spans="1:9" x14ac:dyDescent="0.45">
      <c r="A606">
        <v>4.1886664803314488E-3</v>
      </c>
      <c r="B606">
        <f t="shared" si="47"/>
        <v>1.7544926883452247E-5</v>
      </c>
      <c r="E606">
        <f t="shared" si="51"/>
        <v>6.795243343697929E-5</v>
      </c>
      <c r="F606">
        <f t="shared" si="52"/>
        <v>8.2433266001644811E-3</v>
      </c>
      <c r="G606" s="1">
        <f t="shared" si="48"/>
        <v>1.9165734345382421E-2</v>
      </c>
      <c r="H606">
        <f t="shared" si="49"/>
        <v>1916.5734345382421</v>
      </c>
      <c r="I606">
        <f t="shared" si="50"/>
        <v>8571.1769669955047</v>
      </c>
    </row>
    <row r="607" spans="1:9" x14ac:dyDescent="0.45">
      <c r="A607">
        <v>2.02817318495363E-2</v>
      </c>
      <c r="B607">
        <f t="shared" si="47"/>
        <v>4.1134864681649513E-4</v>
      </c>
      <c r="E607">
        <f t="shared" si="51"/>
        <v>6.5427628355620271E-5</v>
      </c>
      <c r="F607">
        <f t="shared" si="52"/>
        <v>8.0887346572637835E-3</v>
      </c>
      <c r="G607" s="1">
        <f t="shared" si="48"/>
        <v>1.8806308078138299E-2</v>
      </c>
      <c r="H607">
        <f t="shared" si="49"/>
        <v>1880.63080781383</v>
      </c>
      <c r="I607">
        <f t="shared" si="50"/>
        <v>8410.4366537041333</v>
      </c>
    </row>
    <row r="608" spans="1:9" x14ac:dyDescent="0.45">
      <c r="A608">
        <v>7.3818455348373391E-3</v>
      </c>
      <c r="B608">
        <f t="shared" si="47"/>
        <v>5.4491643500197963E-5</v>
      </c>
      <c r="E608">
        <f t="shared" si="51"/>
        <v>8.2723650095267034E-5</v>
      </c>
      <c r="F608">
        <f t="shared" si="52"/>
        <v>9.095254262265956E-3</v>
      </c>
      <c r="G608" s="1">
        <f t="shared" si="48"/>
        <v>2.1146466159768351E-2</v>
      </c>
      <c r="H608">
        <f t="shared" si="49"/>
        <v>2114.6466159768352</v>
      </c>
      <c r="I608">
        <f t="shared" si="50"/>
        <v>9456.9871634281935</v>
      </c>
    </row>
    <row r="609" spans="1:9" x14ac:dyDescent="0.45">
      <c r="A609">
        <v>1.6107264855236281E-3</v>
      </c>
      <c r="B609">
        <f t="shared" si="47"/>
        <v>2.5944398111672985E-6</v>
      </c>
      <c r="E609">
        <f t="shared" si="51"/>
        <v>8.131133992981438E-5</v>
      </c>
      <c r="F609">
        <f t="shared" si="52"/>
        <v>9.0172800738257206E-3</v>
      </c>
      <c r="G609" s="1">
        <f t="shared" si="48"/>
        <v>2.0965176171644801E-2</v>
      </c>
      <c r="H609">
        <f t="shared" si="49"/>
        <v>2096.5176171644803</v>
      </c>
      <c r="I609">
        <f t="shared" si="50"/>
        <v>9375.9118160113158</v>
      </c>
    </row>
    <row r="610" spans="1:9" x14ac:dyDescent="0.45">
      <c r="A610">
        <v>-2.1802770788781345E-2</v>
      </c>
      <c r="B610">
        <f t="shared" si="47"/>
        <v>4.7536081406813709E-4</v>
      </c>
      <c r="E610">
        <f t="shared" si="51"/>
        <v>7.7372472270155373E-5</v>
      </c>
      <c r="F610">
        <f t="shared" si="52"/>
        <v>8.7961623603794049E-3</v>
      </c>
      <c r="G610" s="1">
        <f t="shared" si="48"/>
        <v>2.0451077487882118E-2</v>
      </c>
      <c r="H610">
        <f t="shared" si="49"/>
        <v>2045.1077487882119</v>
      </c>
      <c r="I610">
        <f t="shared" si="50"/>
        <v>9145.9998952040096</v>
      </c>
    </row>
    <row r="611" spans="1:9" x14ac:dyDescent="0.45">
      <c r="A611">
        <v>4.0346549212699756E-3</v>
      </c>
      <c r="B611">
        <f t="shared" si="47"/>
        <v>1.6278440333728033E-5</v>
      </c>
      <c r="E611">
        <f t="shared" si="51"/>
        <v>9.7268444202670677E-5</v>
      </c>
      <c r="F611">
        <f t="shared" si="52"/>
        <v>9.8624765755194917E-3</v>
      </c>
      <c r="G611" s="1">
        <f t="shared" si="48"/>
        <v>2.293025803808282E-2</v>
      </c>
      <c r="H611">
        <f t="shared" si="49"/>
        <v>2293.025803808282</v>
      </c>
      <c r="I611">
        <f t="shared" si="50"/>
        <v>10254.723142952829</v>
      </c>
    </row>
    <row r="612" spans="1:9" x14ac:dyDescent="0.45">
      <c r="A612">
        <v>7.3017190516111441E-3</v>
      </c>
      <c r="B612">
        <f t="shared" si="47"/>
        <v>5.3315101108661144E-5</v>
      </c>
      <c r="E612">
        <f t="shared" si="51"/>
        <v>9.3218535392039866E-5</v>
      </c>
      <c r="F612">
        <f t="shared" si="52"/>
        <v>9.6549746448160011E-3</v>
      </c>
      <c r="G612" s="1">
        <f t="shared" si="48"/>
        <v>2.2447816049197204E-2</v>
      </c>
      <c r="H612">
        <f t="shared" si="49"/>
        <v>2244.7816049197204</v>
      </c>
      <c r="I612">
        <f t="shared" si="50"/>
        <v>10038.968526483142</v>
      </c>
    </row>
    <row r="613" spans="1:9" x14ac:dyDescent="0.45">
      <c r="A613">
        <v>7.3177034209948033E-3</v>
      </c>
      <c r="B613">
        <f t="shared" si="47"/>
        <v>5.3548783357639047E-5</v>
      </c>
      <c r="E613">
        <f t="shared" si="51"/>
        <v>9.1207726388184299E-5</v>
      </c>
      <c r="F613">
        <f t="shared" si="52"/>
        <v>9.5502736289691872E-3</v>
      </c>
      <c r="G613" s="1">
        <f t="shared" si="48"/>
        <v>2.2204386187353362E-2</v>
      </c>
      <c r="H613">
        <f t="shared" si="49"/>
        <v>2220.4386187353361</v>
      </c>
      <c r="I613">
        <f t="shared" si="50"/>
        <v>9930.1033827159008</v>
      </c>
    </row>
    <row r="614" spans="1:9" x14ac:dyDescent="0.45">
      <c r="A614">
        <v>1.5586329027428292E-2</v>
      </c>
      <c r="B614">
        <f t="shared" si="47"/>
        <v>2.4293365255125376E-4</v>
      </c>
      <c r="E614">
        <f t="shared" si="51"/>
        <v>8.932168947788377E-5</v>
      </c>
      <c r="F614">
        <f t="shared" si="52"/>
        <v>9.4510152617527689E-3</v>
      </c>
      <c r="G614" s="1">
        <f t="shared" si="48"/>
        <v>2.1973610483575188E-2</v>
      </c>
      <c r="H614">
        <f t="shared" si="49"/>
        <v>2197.3610483575189</v>
      </c>
      <c r="I614">
        <f t="shared" si="50"/>
        <v>9826.8973504752303</v>
      </c>
    </row>
    <row r="615" spans="1:9" x14ac:dyDescent="0.45">
      <c r="A615">
        <v>1.2060718290740624E-2</v>
      </c>
      <c r="B615">
        <f t="shared" si="47"/>
        <v>1.4546092568860545E-4</v>
      </c>
      <c r="E615">
        <f t="shared" si="51"/>
        <v>9.7001951690314949E-5</v>
      </c>
      <c r="F615">
        <f t="shared" si="52"/>
        <v>9.8489568833615548E-3</v>
      </c>
      <c r="G615" s="1">
        <f t="shared" si="48"/>
        <v>2.2898824753815616E-2</v>
      </c>
      <c r="H615">
        <f t="shared" si="49"/>
        <v>2289.8824753815616</v>
      </c>
      <c r="I615">
        <f t="shared" si="50"/>
        <v>10240.665750877321</v>
      </c>
    </row>
    <row r="616" spans="1:9" x14ac:dyDescent="0.45">
      <c r="A616">
        <v>-8.3698523667408153E-3</v>
      </c>
      <c r="B616">
        <f t="shared" si="47"/>
        <v>7.0054428641036826E-5</v>
      </c>
      <c r="E616">
        <f t="shared" si="51"/>
        <v>9.9422943751459398E-5</v>
      </c>
      <c r="F616">
        <f t="shared" si="52"/>
        <v>9.9711054428011838E-3</v>
      </c>
      <c r="G616" s="1">
        <f t="shared" si="48"/>
        <v>2.3182820154512753E-2</v>
      </c>
      <c r="H616">
        <f t="shared" si="49"/>
        <v>2318.2820154512751</v>
      </c>
      <c r="I616">
        <f t="shared" si="50"/>
        <v>10367.672355128538</v>
      </c>
    </row>
    <row r="617" spans="1:9" x14ac:dyDescent="0.45">
      <c r="A617">
        <v>4.4506805352284573E-3</v>
      </c>
      <c r="B617">
        <f t="shared" si="47"/>
        <v>1.9808557226661468E-5</v>
      </c>
      <c r="E617">
        <f t="shared" si="51"/>
        <v>9.7953691357242304E-5</v>
      </c>
      <c r="F617">
        <f t="shared" si="52"/>
        <v>9.8971557205715568E-3</v>
      </c>
      <c r="G617" s="1">
        <f t="shared" si="48"/>
        <v>2.301088705032887E-2</v>
      </c>
      <c r="H617">
        <f t="shared" si="49"/>
        <v>2301.088705032887</v>
      </c>
      <c r="I617">
        <f t="shared" si="50"/>
        <v>10290.781533420995</v>
      </c>
    </row>
    <row r="618" spans="1:9" x14ac:dyDescent="0.45">
      <c r="A618">
        <v>1.2469695320760366E-2</v>
      </c>
      <c r="B618">
        <f t="shared" si="47"/>
        <v>1.5549330139259297E-4</v>
      </c>
      <c r="E618">
        <f t="shared" si="51"/>
        <v>9.4046347100427489E-5</v>
      </c>
      <c r="F618">
        <f t="shared" si="52"/>
        <v>9.6977495894886613E-3</v>
      </c>
      <c r="G618" s="1">
        <f t="shared" si="48"/>
        <v>2.2547267795561141E-2</v>
      </c>
      <c r="H618">
        <f t="shared" si="49"/>
        <v>2254.7267795561143</v>
      </c>
      <c r="I618">
        <f t="shared" si="50"/>
        <v>10083.444699553309</v>
      </c>
    </row>
    <row r="619" spans="1:9" x14ac:dyDescent="0.45">
      <c r="A619">
        <v>-9.1409447122714482E-3</v>
      </c>
      <c r="B619">
        <f t="shared" si="47"/>
        <v>8.3556870232803351E-5</v>
      </c>
      <c r="E619">
        <f t="shared" si="51"/>
        <v>9.7117787048844336E-5</v>
      </c>
      <c r="F619">
        <f t="shared" si="52"/>
        <v>9.8548357190185749E-3</v>
      </c>
      <c r="G619" s="1">
        <f t="shared" si="48"/>
        <v>2.2912493046718187E-2</v>
      </c>
      <c r="H619">
        <f t="shared" si="49"/>
        <v>2291.2493046718187</v>
      </c>
      <c r="I619">
        <f t="shared" si="50"/>
        <v>10246.778397290627</v>
      </c>
    </row>
    <row r="620" spans="1:9" x14ac:dyDescent="0.45">
      <c r="A620">
        <v>-2.4094788386719301E-3</v>
      </c>
      <c r="B620">
        <f t="shared" si="47"/>
        <v>5.8055882740078329E-6</v>
      </c>
      <c r="E620">
        <f t="shared" si="51"/>
        <v>9.6438262631608573E-5</v>
      </c>
      <c r="F620">
        <f t="shared" si="52"/>
        <v>9.8202985001276093E-3</v>
      </c>
      <c r="G620" s="1">
        <f t="shared" si="48"/>
        <v>2.2832194012796694E-2</v>
      </c>
      <c r="H620">
        <f t="shared" si="49"/>
        <v>2283.2194012796695</v>
      </c>
      <c r="I620">
        <f t="shared" si="50"/>
        <v>10210.867577615423</v>
      </c>
    </row>
    <row r="621" spans="1:9" x14ac:dyDescent="0.45">
      <c r="A621">
        <v>-1.0103531167260371E-2</v>
      </c>
      <c r="B621">
        <f t="shared" si="47"/>
        <v>1.0208134204780172E-4</v>
      </c>
      <c r="E621">
        <f t="shared" si="51"/>
        <v>9.1906105481933962E-5</v>
      </c>
      <c r="F621">
        <f t="shared" si="52"/>
        <v>9.5867672070377285E-3</v>
      </c>
      <c r="G621" s="1">
        <f t="shared" si="48"/>
        <v>2.2289233756362721E-2</v>
      </c>
      <c r="H621">
        <f t="shared" si="49"/>
        <v>2228.9233756362719</v>
      </c>
      <c r="I621">
        <f t="shared" si="50"/>
        <v>9968.0483691220052</v>
      </c>
    </row>
    <row r="622" spans="1:9" x14ac:dyDescent="0.45">
      <c r="A622">
        <v>-1.3042608770774677E-2</v>
      </c>
      <c r="B622">
        <f t="shared" si="47"/>
        <v>1.7010964354748854E-4</v>
      </c>
      <c r="E622">
        <f t="shared" si="51"/>
        <v>9.2412597759011122E-5</v>
      </c>
      <c r="F622">
        <f t="shared" si="52"/>
        <v>9.6131471308313551E-3</v>
      </c>
      <c r="G622" s="1">
        <f t="shared" si="48"/>
        <v>2.2350567079182902E-2</v>
      </c>
      <c r="H622">
        <f t="shared" si="49"/>
        <v>2235.0567079182902</v>
      </c>
      <c r="I622">
        <f t="shared" si="50"/>
        <v>9995.4774649443789</v>
      </c>
    </row>
    <row r="623" spans="1:9" x14ac:dyDescent="0.45">
      <c r="A623">
        <v>8.0484142017667182E-3</v>
      </c>
      <c r="B623">
        <f t="shared" si="47"/>
        <v>6.4776971163200197E-5</v>
      </c>
      <c r="E623">
        <f t="shared" si="51"/>
        <v>9.6297348443439402E-5</v>
      </c>
      <c r="F623">
        <f t="shared" si="52"/>
        <v>9.8131212385988275E-3</v>
      </c>
      <c r="G623" s="1">
        <f t="shared" si="48"/>
        <v>2.2815506879742275E-2</v>
      </c>
      <c r="H623">
        <f t="shared" si="49"/>
        <v>2281.5506879742275</v>
      </c>
      <c r="I623">
        <f t="shared" si="50"/>
        <v>10203.404864843569</v>
      </c>
    </row>
    <row r="624" spans="1:9" x14ac:dyDescent="0.45">
      <c r="A624">
        <v>-2.9503439691325184E-3</v>
      </c>
      <c r="B624">
        <f t="shared" si="47"/>
        <v>8.7045295361966233E-6</v>
      </c>
      <c r="E624">
        <f t="shared" si="51"/>
        <v>9.4721080467383099E-5</v>
      </c>
      <c r="F624">
        <f t="shared" si="52"/>
        <v>9.7324755569887303E-3</v>
      </c>
      <c r="G624" s="1">
        <f t="shared" si="48"/>
        <v>2.2628005669998799E-2</v>
      </c>
      <c r="H624">
        <f t="shared" si="49"/>
        <v>2262.8005669998797</v>
      </c>
      <c r="I624">
        <f t="shared" si="50"/>
        <v>10119.551774673597</v>
      </c>
    </row>
    <row r="625" spans="1:9" x14ac:dyDescent="0.45">
      <c r="A625">
        <v>-1.6836224858707283E-3</v>
      </c>
      <c r="B625">
        <f t="shared" si="47"/>
        <v>2.8345846749295306E-6</v>
      </c>
      <c r="E625">
        <f t="shared" si="51"/>
        <v>9.0420252742997123E-5</v>
      </c>
      <c r="F625">
        <f t="shared" si="52"/>
        <v>9.5089564486854766E-3</v>
      </c>
      <c r="G625" s="1">
        <f t="shared" si="48"/>
        <v>2.2108323743193735E-2</v>
      </c>
      <c r="H625">
        <f t="shared" si="49"/>
        <v>2210.8323743193737</v>
      </c>
      <c r="I625">
        <f t="shared" si="50"/>
        <v>9887.1429516707594</v>
      </c>
    </row>
    <row r="626" spans="1:9" x14ac:dyDescent="0.45">
      <c r="A626">
        <v>5.7440956879872829E-3</v>
      </c>
      <c r="B626">
        <f t="shared" si="47"/>
        <v>3.2994635272754096E-5</v>
      </c>
      <c r="E626">
        <f t="shared" si="51"/>
        <v>8.6040968406935842E-5</v>
      </c>
      <c r="F626">
        <f t="shared" si="52"/>
        <v>9.2758271009617168E-3</v>
      </c>
      <c r="G626" s="1">
        <f t="shared" si="48"/>
        <v>2.1566298009735994E-2</v>
      </c>
      <c r="H626">
        <f t="shared" si="49"/>
        <v>2156.6298009735992</v>
      </c>
      <c r="I626">
        <f t="shared" si="50"/>
        <v>9644.7416745576211</v>
      </c>
    </row>
    <row r="627" spans="1:9" x14ac:dyDescent="0.45">
      <c r="A627">
        <v>-5.742276698583737E-3</v>
      </c>
      <c r="B627">
        <f t="shared" si="47"/>
        <v>3.2973741683097741E-5</v>
      </c>
      <c r="E627">
        <f t="shared" si="51"/>
        <v>8.3385764980772482E-5</v>
      </c>
      <c r="F627">
        <f t="shared" si="52"/>
        <v>9.1315806397782237E-3</v>
      </c>
      <c r="G627" s="1">
        <f t="shared" si="48"/>
        <v>2.123092498748437E-2</v>
      </c>
      <c r="H627">
        <f t="shared" si="49"/>
        <v>2123.0924987484368</v>
      </c>
      <c r="I627">
        <f t="shared" si="50"/>
        <v>9494.7582994427848</v>
      </c>
    </row>
    <row r="628" spans="1:9" x14ac:dyDescent="0.45">
      <c r="A628">
        <v>5.1059032557532191E-3</v>
      </c>
      <c r="B628">
        <f t="shared" si="47"/>
        <v>2.6070248057111323E-5</v>
      </c>
      <c r="E628">
        <f t="shared" si="51"/>
        <v>8.0864637191443601E-5</v>
      </c>
      <c r="F628">
        <f t="shared" si="52"/>
        <v>8.9924766995218616E-3</v>
      </c>
      <c r="G628" s="1">
        <f t="shared" si="48"/>
        <v>2.0907508326388331E-2</v>
      </c>
      <c r="H628">
        <f t="shared" si="49"/>
        <v>2090.7508326388333</v>
      </c>
      <c r="I628">
        <f t="shared" si="50"/>
        <v>9350.1219715894349</v>
      </c>
    </row>
    <row r="629" spans="1:9" x14ac:dyDescent="0.45">
      <c r="A629">
        <v>1.0411099538032431E-3</v>
      </c>
      <c r="B629">
        <f t="shared" si="47"/>
        <v>1.0839099359081911E-6</v>
      </c>
      <c r="E629">
        <f t="shared" si="51"/>
        <v>7.8123676201307971E-5</v>
      </c>
      <c r="F629">
        <f t="shared" si="52"/>
        <v>8.8387598791520514E-3</v>
      </c>
      <c r="G629" s="1">
        <f t="shared" si="48"/>
        <v>2.0550116719028521E-2</v>
      </c>
      <c r="H629">
        <f t="shared" si="49"/>
        <v>2055.011671902852</v>
      </c>
      <c r="I629">
        <f t="shared" si="50"/>
        <v>9190.2915858605429</v>
      </c>
    </row>
    <row r="630" spans="1:9" x14ac:dyDescent="0.45">
      <c r="A630">
        <v>-2.0805327949346974E-2</v>
      </c>
      <c r="B630">
        <f t="shared" si="47"/>
        <v>4.328616710798784E-4</v>
      </c>
      <c r="E630">
        <f t="shared" si="51"/>
        <v>7.427105560074621E-5</v>
      </c>
      <c r="F630">
        <f t="shared" si="52"/>
        <v>8.6180656530770415E-3</v>
      </c>
      <c r="G630" s="1">
        <f t="shared" si="48"/>
        <v>2.0037002643404123E-2</v>
      </c>
      <c r="H630">
        <f t="shared" si="49"/>
        <v>2003.7002643404123</v>
      </c>
      <c r="I630">
        <f t="shared" si="50"/>
        <v>8960.8199951989209</v>
      </c>
    </row>
    <row r="631" spans="1:9" x14ac:dyDescent="0.45">
      <c r="A631">
        <v>-6.9662519308621995E-3</v>
      </c>
      <c r="B631">
        <f t="shared" si="47"/>
        <v>4.852866596424132E-5</v>
      </c>
      <c r="E631">
        <f t="shared" si="51"/>
        <v>9.2199676455899599E-5</v>
      </c>
      <c r="F631">
        <f t="shared" si="52"/>
        <v>9.6020662597119995E-3</v>
      </c>
      <c r="G631" s="1">
        <f t="shared" si="48"/>
        <v>2.2324804053830402E-2</v>
      </c>
      <c r="H631">
        <f t="shared" si="49"/>
        <v>2232.4804053830403</v>
      </c>
      <c r="I631">
        <f t="shared" si="50"/>
        <v>9983.9558897455317</v>
      </c>
    </row>
    <row r="632" spans="1:9" x14ac:dyDescent="0.45">
      <c r="A632">
        <v>2.2553831513505429E-2</v>
      </c>
      <c r="B632">
        <f t="shared" si="47"/>
        <v>5.0867531593959056E-4</v>
      </c>
      <c r="E632">
        <f t="shared" si="51"/>
        <v>9.0015419272348676E-5</v>
      </c>
      <c r="F632">
        <f t="shared" si="52"/>
        <v>9.4876456127085968E-3</v>
      </c>
      <c r="G632" s="1">
        <f t="shared" si="48"/>
        <v>2.205877604954749E-2</v>
      </c>
      <c r="H632">
        <f t="shared" si="49"/>
        <v>2205.8776049547491</v>
      </c>
      <c r="I632">
        <f t="shared" si="50"/>
        <v>9864.9845494464917</v>
      </c>
    </row>
    <row r="633" spans="1:9" x14ac:dyDescent="0.45">
      <c r="A633">
        <v>1.0003350325860083E-2</v>
      </c>
      <c r="B633">
        <f t="shared" si="47"/>
        <v>1.0006701774188503E-4</v>
      </c>
      <c r="E633">
        <f t="shared" si="51"/>
        <v>1.1094803549287019E-4</v>
      </c>
      <c r="F633">
        <f t="shared" si="52"/>
        <v>1.0533187337784806E-2</v>
      </c>
      <c r="G633" s="1">
        <f t="shared" si="48"/>
        <v>2.4489660560349676E-2</v>
      </c>
      <c r="H633">
        <f t="shared" si="49"/>
        <v>2448.9660560349676</v>
      </c>
      <c r="I633">
        <f t="shared" si="50"/>
        <v>10952.109151767494</v>
      </c>
    </row>
    <row r="634" spans="1:9" x14ac:dyDescent="0.45">
      <c r="A634">
        <v>-1.9164190234732814E-4</v>
      </c>
      <c r="B634">
        <f t="shared" si="47"/>
        <v>3.6726618735302855E-8</v>
      </c>
      <c r="E634">
        <f t="shared" si="51"/>
        <v>1.1039707424233832E-4</v>
      </c>
      <c r="F634">
        <f t="shared" si="52"/>
        <v>1.0507001201215232E-2</v>
      </c>
      <c r="G634" s="1">
        <f t="shared" si="48"/>
        <v>2.4428777792825415E-2</v>
      </c>
      <c r="H634">
        <f t="shared" si="49"/>
        <v>2442.8777792825417</v>
      </c>
      <c r="I634">
        <f t="shared" si="50"/>
        <v>10924.881550398983</v>
      </c>
    </row>
    <row r="635" spans="1:9" x14ac:dyDescent="0.45">
      <c r="A635">
        <v>1.9957496988354251E-2</v>
      </c>
      <c r="B635">
        <f t="shared" si="47"/>
        <v>3.98301686040169E-4</v>
      </c>
      <c r="E635">
        <f t="shared" si="51"/>
        <v>1.0487522544494964E-4</v>
      </c>
      <c r="F635">
        <f t="shared" si="52"/>
        <v>1.0240860581267067E-2</v>
      </c>
      <c r="G635" s="1">
        <f t="shared" si="48"/>
        <v>2.3810000851445932E-2</v>
      </c>
      <c r="H635">
        <f t="shared" si="49"/>
        <v>2381.0000851445934</v>
      </c>
      <c r="I635">
        <f t="shared" si="50"/>
        <v>10648.156089632197</v>
      </c>
    </row>
    <row r="636" spans="1:9" x14ac:dyDescent="0.45">
      <c r="A636">
        <v>-1.1589236237341538E-4</v>
      </c>
      <c r="B636">
        <f t="shared" si="47"/>
        <v>1.3431039656491025E-8</v>
      </c>
      <c r="E636">
        <f t="shared" si="51"/>
        <v>1.1954554035271987E-4</v>
      </c>
      <c r="F636">
        <f t="shared" si="52"/>
        <v>1.0933688323375596E-2</v>
      </c>
      <c r="G636" s="1">
        <f t="shared" si="48"/>
        <v>2.5420825351848263E-2</v>
      </c>
      <c r="H636">
        <f t="shared" si="49"/>
        <v>2542.0825351848262</v>
      </c>
      <c r="I636">
        <f t="shared" si="50"/>
        <v>11368.538706176545</v>
      </c>
    </row>
    <row r="637" spans="1:9" x14ac:dyDescent="0.45">
      <c r="A637">
        <v>4.3790123527287506E-3</v>
      </c>
      <c r="B637">
        <f t="shared" si="47"/>
        <v>1.9175749185350986E-5</v>
      </c>
      <c r="E637">
        <f t="shared" si="51"/>
        <v>1.135689348028033E-4</v>
      </c>
      <c r="F637">
        <f t="shared" si="52"/>
        <v>1.0656872655840611E-2</v>
      </c>
      <c r="G637" s="1">
        <f t="shared" si="48"/>
        <v>2.477722892482942E-2</v>
      </c>
      <c r="H637">
        <f t="shared" si="49"/>
        <v>2477.7228924829419</v>
      </c>
      <c r="I637">
        <f t="shared" si="50"/>
        <v>11080.713633998523</v>
      </c>
    </row>
    <row r="638" spans="1:9" x14ac:dyDescent="0.45">
      <c r="A638">
        <v>5.6370481615886092E-4</v>
      </c>
      <c r="B638">
        <f t="shared" si="47"/>
        <v>3.1776311976069519E-7</v>
      </c>
      <c r="E638">
        <f t="shared" si="51"/>
        <v>1.0884650224112173E-4</v>
      </c>
      <c r="F638">
        <f t="shared" si="52"/>
        <v>1.0432952709617816E-2</v>
      </c>
      <c r="G638" s="1">
        <f t="shared" si="48"/>
        <v>2.4256615049861426E-2</v>
      </c>
      <c r="H638">
        <f t="shared" si="49"/>
        <v>2425.6615049861425</v>
      </c>
      <c r="I638">
        <f t="shared" si="50"/>
        <v>10847.888031106921</v>
      </c>
    </row>
    <row r="639" spans="1:9" x14ac:dyDescent="0.45">
      <c r="A639">
        <v>3.9129645301727578E-3</v>
      </c>
      <c r="B639">
        <f t="shared" si="47"/>
        <v>1.5311291414390113E-5</v>
      </c>
      <c r="E639">
        <f t="shared" si="51"/>
        <v>1.0341903765071744E-4</v>
      </c>
      <c r="F639">
        <f t="shared" si="52"/>
        <v>1.0169515113844781E-2</v>
      </c>
      <c r="G639" s="1">
        <f t="shared" si="48"/>
        <v>2.3644122639689118E-2</v>
      </c>
      <c r="H639">
        <f t="shared" si="49"/>
        <v>2364.4122639689117</v>
      </c>
      <c r="I639">
        <f t="shared" si="50"/>
        <v>10573.973098137327</v>
      </c>
    </row>
    <row r="640" spans="1:9" x14ac:dyDescent="0.45">
      <c r="A640">
        <v>-6.6451093516661786E-3</v>
      </c>
      <c r="B640">
        <f t="shared" si="47"/>
        <v>4.4157478295601297E-5</v>
      </c>
      <c r="E640">
        <f t="shared" si="51"/>
        <v>9.9012604100608966E-5</v>
      </c>
      <c r="F640">
        <f t="shared" si="52"/>
        <v>9.9505077307948941E-3</v>
      </c>
      <c r="G640" s="1">
        <f t="shared" si="48"/>
        <v>2.313493047409813E-2</v>
      </c>
      <c r="H640">
        <f t="shared" si="49"/>
        <v>2313.4930474098132</v>
      </c>
      <c r="I640">
        <f t="shared" si="50"/>
        <v>10346.255438962973</v>
      </c>
    </row>
    <row r="641" spans="1:9" x14ac:dyDescent="0.45">
      <c r="A641">
        <v>8.6100953922141343E-3</v>
      </c>
      <c r="B641">
        <f t="shared" si="47"/>
        <v>7.4133742663027067E-5</v>
      </c>
      <c r="E641">
        <f t="shared" si="51"/>
        <v>9.6269729672670995E-5</v>
      </c>
      <c r="F641">
        <f t="shared" si="52"/>
        <v>9.8117139008774088E-3</v>
      </c>
      <c r="G641" s="1">
        <f t="shared" si="48"/>
        <v>2.2812234819539978E-2</v>
      </c>
      <c r="H641">
        <f t="shared" si="49"/>
        <v>2281.2234819539976</v>
      </c>
      <c r="I641">
        <f t="shared" si="50"/>
        <v>10201.941555035808</v>
      </c>
    </row>
    <row r="642" spans="1:9" x14ac:dyDescent="0.45">
      <c r="A642">
        <v>2.6995621738024056E-3</v>
      </c>
      <c r="B642">
        <f t="shared" si="47"/>
        <v>7.2876359302247695E-6</v>
      </c>
      <c r="E642">
        <f t="shared" si="51"/>
        <v>9.5157339606277369E-5</v>
      </c>
      <c r="F642">
        <f t="shared" si="52"/>
        <v>9.7548623571159301E-3</v>
      </c>
      <c r="G642" s="1">
        <f t="shared" si="48"/>
        <v>2.2680054980294538E-2</v>
      </c>
      <c r="H642">
        <f t="shared" si="49"/>
        <v>2268.005498029454</v>
      </c>
      <c r="I642">
        <f t="shared" si="50"/>
        <v>10142.828933874249</v>
      </c>
    </row>
    <row r="643" spans="1:9" x14ac:dyDescent="0.45">
      <c r="A643">
        <v>7.113249012036249E-3</v>
      </c>
      <c r="B643">
        <f t="shared" ref="B643:B706" si="53">A643^2</f>
        <v>5.0598311507234672E-5</v>
      </c>
      <c r="E643">
        <f t="shared" si="51"/>
        <v>9.0763778169083233E-5</v>
      </c>
      <c r="F643">
        <f t="shared" si="52"/>
        <v>9.5270025805120478E-3</v>
      </c>
      <c r="G643" s="1">
        <f t="shared" si="48"/>
        <v>2.2150280999690512E-2</v>
      </c>
      <c r="H643">
        <f t="shared" si="49"/>
        <v>2215.0280999690513</v>
      </c>
      <c r="I643">
        <f t="shared" si="50"/>
        <v>9905.9068072059981</v>
      </c>
    </row>
    <row r="644" spans="1:9" x14ac:dyDescent="0.45">
      <c r="A644">
        <v>-4.4540684029925615E-3</v>
      </c>
      <c r="B644">
        <f t="shared" si="53"/>
        <v>1.9838725338536706E-5</v>
      </c>
      <c r="E644">
        <f t="shared" si="51"/>
        <v>8.8754902461019554E-5</v>
      </c>
      <c r="F644">
        <f t="shared" si="52"/>
        <v>9.4209820327298983E-3</v>
      </c>
      <c r="G644" s="1">
        <f t="shared" si="48"/>
        <v>2.1903783226097016E-2</v>
      </c>
      <c r="H644">
        <f t="shared" si="49"/>
        <v>2190.3783226097016</v>
      </c>
      <c r="I644">
        <f t="shared" si="50"/>
        <v>9795.669651594515</v>
      </c>
    </row>
    <row r="645" spans="1:9" x14ac:dyDescent="0.45">
      <c r="A645">
        <v>1.3615340321848635E-2</v>
      </c>
      <c r="B645">
        <f t="shared" si="53"/>
        <v>1.8537749207975728E-4</v>
      </c>
      <c r="E645">
        <f t="shared" si="51"/>
        <v>8.5309051036537822E-5</v>
      </c>
      <c r="F645">
        <f t="shared" si="52"/>
        <v>9.2362898956527897E-3</v>
      </c>
      <c r="G645" s="1">
        <f t="shared" si="48"/>
        <v>2.1474374007392737E-2</v>
      </c>
      <c r="H645">
        <f t="shared" si="49"/>
        <v>2147.4374007392735</v>
      </c>
      <c r="I645">
        <f t="shared" si="50"/>
        <v>9603.632010956946</v>
      </c>
    </row>
    <row r="646" spans="1:9" x14ac:dyDescent="0.45">
      <c r="A646">
        <v>4.18115178035805E-3</v>
      </c>
      <c r="B646">
        <f t="shared" si="53"/>
        <v>1.748203021039129E-5</v>
      </c>
      <c r="E646">
        <f t="shared" si="51"/>
        <v>9.0306543016343763E-5</v>
      </c>
      <c r="F646">
        <f t="shared" si="52"/>
        <v>9.502975482255217E-3</v>
      </c>
      <c r="G646" s="1">
        <f t="shared" si="48"/>
        <v>2.2094417996243381E-2</v>
      </c>
      <c r="H646">
        <f t="shared" si="49"/>
        <v>2209.4417996243383</v>
      </c>
      <c r="I646">
        <f t="shared" si="50"/>
        <v>9880.9241125789795</v>
      </c>
    </row>
    <row r="647" spans="1:9" x14ac:dyDescent="0.45">
      <c r="A647">
        <v>-4.5310798668651842E-3</v>
      </c>
      <c r="B647">
        <f t="shared" si="53"/>
        <v>2.0530684759911014E-5</v>
      </c>
      <c r="E647">
        <f t="shared" si="51"/>
        <v>8.6665191957090181E-5</v>
      </c>
      <c r="F647">
        <f t="shared" si="52"/>
        <v>9.3094141575659952E-3</v>
      </c>
      <c r="G647" s="1">
        <f t="shared" si="48"/>
        <v>2.1644387916340942E-2</v>
      </c>
      <c r="H647">
        <f t="shared" si="49"/>
        <v>2164.4387916340943</v>
      </c>
      <c r="I647">
        <f t="shared" si="50"/>
        <v>9679.6645424626768</v>
      </c>
    </row>
    <row r="648" spans="1:9" x14ac:dyDescent="0.45">
      <c r="A648">
        <v>9.8394139058655128E-3</v>
      </c>
      <c r="B648">
        <f t="shared" si="53"/>
        <v>9.6814066010939633E-5</v>
      </c>
      <c r="E648">
        <f t="shared" si="51"/>
        <v>8.334422117080161E-5</v>
      </c>
      <c r="F648">
        <f t="shared" si="52"/>
        <v>9.1293056236934917E-3</v>
      </c>
      <c r="G648" s="1">
        <f t="shared" si="48"/>
        <v>2.122563557508737E-2</v>
      </c>
      <c r="H648">
        <f t="shared" si="49"/>
        <v>2122.5635575087372</v>
      </c>
      <c r="I648">
        <f t="shared" si="50"/>
        <v>9492.3928023066419</v>
      </c>
    </row>
    <row r="649" spans="1:9" x14ac:dyDescent="0.45">
      <c r="A649">
        <v>2.6884549697570037E-3</v>
      </c>
      <c r="B649">
        <f t="shared" si="53"/>
        <v>7.2277901244111318E-6</v>
      </c>
      <c r="E649">
        <f t="shared" si="51"/>
        <v>8.4013544394021789E-5</v>
      </c>
      <c r="F649">
        <f t="shared" si="52"/>
        <v>9.1658902674002039E-3</v>
      </c>
      <c r="G649" s="1">
        <f t="shared" si="48"/>
        <v>2.1310694871705477E-2</v>
      </c>
      <c r="H649">
        <f t="shared" si="49"/>
        <v>2131.0694871705477</v>
      </c>
      <c r="I649">
        <f t="shared" si="50"/>
        <v>9530.4324761779226</v>
      </c>
    </row>
    <row r="650" spans="1:9" x14ac:dyDescent="0.45">
      <c r="A650">
        <v>-1.1349925443937536E-3</v>
      </c>
      <c r="B650">
        <f t="shared" si="53"/>
        <v>1.2882080758294068E-6</v>
      </c>
      <c r="E650">
        <f t="shared" si="51"/>
        <v>8.0173159330489184E-5</v>
      </c>
      <c r="F650">
        <f t="shared" si="52"/>
        <v>8.9539465784920329E-3</v>
      </c>
      <c r="G650" s="1">
        <f t="shared" si="48"/>
        <v>2.0817925794993978E-2</v>
      </c>
      <c r="H650">
        <f t="shared" si="49"/>
        <v>2081.792579499398</v>
      </c>
      <c r="I650">
        <f t="shared" si="50"/>
        <v>9310.0594456305789</v>
      </c>
    </row>
    <row r="651" spans="1:9" x14ac:dyDescent="0.45">
      <c r="A651">
        <v>6.2877461459720507E-3</v>
      </c>
      <c r="B651">
        <f t="shared" si="53"/>
        <v>3.9535751596186377E-5</v>
      </c>
      <c r="E651">
        <f t="shared" si="51"/>
        <v>7.6221954018636768E-5</v>
      </c>
      <c r="F651">
        <f t="shared" si="52"/>
        <v>8.7305185423683044E-3</v>
      </c>
      <c r="G651" s="1">
        <f t="shared" si="48"/>
        <v>2.0298455611006308E-2</v>
      </c>
      <c r="H651">
        <f t="shared" si="49"/>
        <v>2029.8455611006309</v>
      </c>
      <c r="I651">
        <f t="shared" si="50"/>
        <v>9077.7453168944267</v>
      </c>
    </row>
    <row r="652" spans="1:9" x14ac:dyDescent="0.45">
      <c r="A652">
        <v>-1.7338243196718395E-2</v>
      </c>
      <c r="B652">
        <f t="shared" si="53"/>
        <v>3.0061467714855169E-4</v>
      </c>
      <c r="E652">
        <f t="shared" si="51"/>
        <v>7.4387495152423801E-5</v>
      </c>
      <c r="F652">
        <f t="shared" si="52"/>
        <v>8.6248185576523178E-3</v>
      </c>
      <c r="G652" s="1">
        <f t="shared" si="48"/>
        <v>2.0052703146541642E-2</v>
      </c>
      <c r="H652">
        <f t="shared" si="49"/>
        <v>2005.2703146541642</v>
      </c>
      <c r="I652">
        <f t="shared" si="50"/>
        <v>8967.8414736582072</v>
      </c>
    </row>
    <row r="653" spans="1:9" x14ac:dyDescent="0.45">
      <c r="A653">
        <v>-5.3947815104038455E-3</v>
      </c>
      <c r="B653">
        <f t="shared" si="53"/>
        <v>2.9103667544995195E-5</v>
      </c>
      <c r="E653">
        <f t="shared" si="51"/>
        <v>8.5697296274135924E-5</v>
      </c>
      <c r="F653">
        <f t="shared" si="52"/>
        <v>9.2572834176196592E-3</v>
      </c>
      <c r="G653" s="1">
        <f t="shared" si="48"/>
        <v>2.152318394596571E-2</v>
      </c>
      <c r="H653">
        <f t="shared" si="49"/>
        <v>2152.3183945965711</v>
      </c>
      <c r="I653">
        <f t="shared" si="50"/>
        <v>9625.4604790822978</v>
      </c>
    </row>
    <row r="654" spans="1:9" x14ac:dyDescent="0.45">
      <c r="A654">
        <v>4.52853328170022E-3</v>
      </c>
      <c r="B654">
        <f t="shared" si="53"/>
        <v>2.0507613683466564E-5</v>
      </c>
      <c r="E654">
        <f t="shared" si="51"/>
        <v>8.2863838436279168E-5</v>
      </c>
      <c r="F654">
        <f t="shared" si="52"/>
        <v>9.1029576751888268E-3</v>
      </c>
      <c r="G654" s="1">
        <f t="shared" si="48"/>
        <v>2.1164376594814023E-2</v>
      </c>
      <c r="H654">
        <f t="shared" si="49"/>
        <v>2116.4376594814021</v>
      </c>
      <c r="I654">
        <f t="shared" si="50"/>
        <v>9464.9969534819356</v>
      </c>
    </row>
    <row r="655" spans="1:9" x14ac:dyDescent="0.45">
      <c r="A655">
        <v>3.8115899769763928E-3</v>
      </c>
      <c r="B655">
        <f t="shared" si="53"/>
        <v>1.4528218152586899E-5</v>
      </c>
      <c r="E655">
        <f t="shared" si="51"/>
        <v>7.9742919777267868E-5</v>
      </c>
      <c r="F655">
        <f t="shared" si="52"/>
        <v>8.9298891245786407E-3</v>
      </c>
      <c r="G655" s="1">
        <f t="shared" si="48"/>
        <v>2.076199221464534E-2</v>
      </c>
      <c r="H655">
        <f t="shared" si="49"/>
        <v>2076.1992214645338</v>
      </c>
      <c r="I655">
        <f t="shared" si="50"/>
        <v>9285.0451880536766</v>
      </c>
    </row>
    <row r="656" spans="1:9" x14ac:dyDescent="0.45">
      <c r="A656">
        <v>-5.576180228672456E-3</v>
      </c>
      <c r="B656">
        <f t="shared" si="53"/>
        <v>3.1093785942637606E-5</v>
      </c>
      <c r="E656">
        <f t="shared" si="51"/>
        <v>7.6482176207844815E-5</v>
      </c>
      <c r="F656">
        <f t="shared" si="52"/>
        <v>8.7454088645325685E-3</v>
      </c>
      <c r="G656" s="1">
        <f t="shared" si="48"/>
        <v>2.0333075610038224E-2</v>
      </c>
      <c r="H656">
        <f t="shared" si="49"/>
        <v>2033.3075610038225</v>
      </c>
      <c r="I656">
        <f t="shared" si="50"/>
        <v>9093.2278511376953</v>
      </c>
    </row>
    <row r="657" spans="1:9" x14ac:dyDescent="0.45">
      <c r="A657">
        <v>-5.4226347856456414E-4</v>
      </c>
      <c r="B657">
        <f t="shared" si="53"/>
        <v>2.9404968018494151E-7</v>
      </c>
      <c r="E657">
        <f t="shared" si="51"/>
        <v>7.4212502564870281E-5</v>
      </c>
      <c r="F657">
        <f t="shared" si="52"/>
        <v>8.6146678731608851E-3</v>
      </c>
      <c r="G657" s="1">
        <f t="shared" si="48"/>
        <v>2.002910280509906E-2</v>
      </c>
      <c r="H657">
        <f t="shared" si="49"/>
        <v>2002.910280509906</v>
      </c>
      <c r="I657">
        <f t="shared" si="50"/>
        <v>8957.2870801066438</v>
      </c>
    </row>
    <row r="658" spans="1:9" x14ac:dyDescent="0.45">
      <c r="A658">
        <v>5.1111328502884135E-3</v>
      </c>
      <c r="B658">
        <f t="shared" si="53"/>
        <v>2.6123679013297361E-5</v>
      </c>
      <c r="E658">
        <f t="shared" si="51"/>
        <v>7.0516035816253216E-5</v>
      </c>
      <c r="F658">
        <f t="shared" si="52"/>
        <v>8.3973826765399474E-3</v>
      </c>
      <c r="G658" s="1">
        <f t="shared" si="48"/>
        <v>1.9523914722955379E-2</v>
      </c>
      <c r="H658">
        <f t="shared" si="49"/>
        <v>1952.3914722955381</v>
      </c>
      <c r="I658">
        <f t="shared" si="50"/>
        <v>8731.3601014874421</v>
      </c>
    </row>
    <row r="659" spans="1:9" x14ac:dyDescent="0.45">
      <c r="A659">
        <v>9.7369138529757038E-3</v>
      </c>
      <c r="B659">
        <f t="shared" si="53"/>
        <v>9.4807491380270162E-5</v>
      </c>
      <c r="E659">
        <f t="shared" si="51"/>
        <v>6.8291760104664215E-5</v>
      </c>
      <c r="F659">
        <f t="shared" si="52"/>
        <v>8.2638828709429447E-3</v>
      </c>
      <c r="G659" s="1">
        <f t="shared" si="48"/>
        <v>1.9213527674942346E-2</v>
      </c>
      <c r="H659">
        <f t="shared" si="49"/>
        <v>1921.3527674942345</v>
      </c>
      <c r="I659">
        <f t="shared" si="50"/>
        <v>8592.5507937489128</v>
      </c>
    </row>
    <row r="660" spans="1:9" x14ac:dyDescent="0.45">
      <c r="A660">
        <v>-1.3098315321258269E-2</v>
      </c>
      <c r="B660">
        <f t="shared" si="53"/>
        <v>1.7156586425510912E-4</v>
      </c>
      <c r="E660">
        <f t="shared" si="51"/>
        <v>6.9614035902312767E-5</v>
      </c>
      <c r="F660">
        <f t="shared" si="52"/>
        <v>8.3435026159469003E-3</v>
      </c>
      <c r="G660" s="1">
        <f t="shared" si="48"/>
        <v>1.9398643582076543E-2</v>
      </c>
      <c r="H660">
        <f t="shared" si="49"/>
        <v>1939.8643582076543</v>
      </c>
      <c r="I660">
        <f t="shared" si="50"/>
        <v>8675.337144162635</v>
      </c>
    </row>
    <row r="661" spans="1:9" x14ac:dyDescent="0.45">
      <c r="A661">
        <v>3.2400635063822847E-3</v>
      </c>
      <c r="B661">
        <f t="shared" si="53"/>
        <v>1.0498011525390265E-5</v>
      </c>
      <c r="E661">
        <f t="shared" si="51"/>
        <v>7.4710440583897227E-5</v>
      </c>
      <c r="F661">
        <f t="shared" si="52"/>
        <v>8.6435201500255215E-3</v>
      </c>
      <c r="G661" s="1">
        <f t="shared" si="48"/>
        <v>2.0096184348809339E-2</v>
      </c>
      <c r="H661">
        <f t="shared" si="49"/>
        <v>2009.6184348809338</v>
      </c>
      <c r="I661">
        <f t="shared" si="50"/>
        <v>8987.286858461006</v>
      </c>
    </row>
    <row r="662" spans="1:9" x14ac:dyDescent="0.45">
      <c r="A662">
        <v>1.1557858670130372E-3</v>
      </c>
      <c r="B662">
        <f t="shared" si="53"/>
        <v>1.3358409703870781E-6</v>
      </c>
      <c r="E662">
        <f t="shared" si="51"/>
        <v>7.1496819759648571E-5</v>
      </c>
      <c r="F662">
        <f t="shared" si="52"/>
        <v>8.4555792089985524E-3</v>
      </c>
      <c r="G662" s="1">
        <f t="shared" si="48"/>
        <v>1.9659221660921634E-2</v>
      </c>
      <c r="H662">
        <f t="shared" si="49"/>
        <v>1965.9221660921635</v>
      </c>
      <c r="I662">
        <f t="shared" si="50"/>
        <v>8791.8712037114201</v>
      </c>
    </row>
    <row r="663" spans="1:9" x14ac:dyDescent="0.45">
      <c r="A663">
        <v>-2.86336216959171E-3</v>
      </c>
      <c r="B663">
        <f t="shared" si="53"/>
        <v>8.1988429142489436E-6</v>
      </c>
      <c r="E663">
        <f t="shared" si="51"/>
        <v>6.7988292609968672E-5</v>
      </c>
      <c r="F663">
        <f t="shared" si="52"/>
        <v>8.2455013558890809E-3</v>
      </c>
      <c r="G663" s="1">
        <f t="shared" si="48"/>
        <v>1.9170790652442114E-2</v>
      </c>
      <c r="H663">
        <f t="shared" si="49"/>
        <v>1917.0790652442115</v>
      </c>
      <c r="I663">
        <f t="shared" si="50"/>
        <v>8573.438216255623</v>
      </c>
    </row>
    <row r="664" spans="1:9" x14ac:dyDescent="0.45">
      <c r="A664">
        <v>-1.0696021490730345E-2</v>
      </c>
      <c r="B664">
        <f t="shared" si="53"/>
        <v>1.144048757301654E-4</v>
      </c>
      <c r="E664">
        <f t="shared" si="51"/>
        <v>6.4998787761981586E-5</v>
      </c>
      <c r="F664">
        <f t="shared" si="52"/>
        <v>8.0621825681375867E-3</v>
      </c>
      <c r="G664" s="1">
        <f t="shared" si="48"/>
        <v>1.874457447091989E-2</v>
      </c>
      <c r="H664">
        <f t="shared" si="49"/>
        <v>1874.457447091989</v>
      </c>
      <c r="I664">
        <f t="shared" si="50"/>
        <v>8382.828545256807</v>
      </c>
    </row>
    <row r="665" spans="1:9" x14ac:dyDescent="0.45">
      <c r="A665">
        <v>-4.7055436880327761E-3</v>
      </c>
      <c r="B665">
        <f t="shared" si="53"/>
        <v>2.21421413999851E-5</v>
      </c>
      <c r="E665">
        <f t="shared" si="51"/>
        <v>6.7468754632077921E-5</v>
      </c>
      <c r="F665">
        <f t="shared" si="52"/>
        <v>8.2139366099378882E-3</v>
      </c>
      <c r="G665" s="1">
        <f t="shared" ref="G665:G728" si="54">F665*$H$1</f>
        <v>1.909740261810559E-2</v>
      </c>
      <c r="H665">
        <f t="shared" ref="H665:H728" si="55">G665*$H$2</f>
        <v>1909.7402618105591</v>
      </c>
      <c r="I665">
        <f t="shared" ref="I665:I728" si="56">H665*SQRT($H$3)</f>
        <v>8540.6180895533125</v>
      </c>
    </row>
    <row r="666" spans="1:9" x14ac:dyDescent="0.45">
      <c r="A666">
        <v>-1.1401607480365783E-2</v>
      </c>
      <c r="B666">
        <f t="shared" si="53"/>
        <v>1.2999665313633297E-4</v>
      </c>
      <c r="E666">
        <f t="shared" ref="E666:E729" si="57">(1-$E$1)*SUMPRODUCT($D$2:$D$151,B516:B665)</f>
        <v>6.5200210398823891E-5</v>
      </c>
      <c r="F666">
        <f t="shared" ref="F666:F729" si="58">SQRT(E666)</f>
        <v>8.0746647236169429E-3</v>
      </c>
      <c r="G666" s="1">
        <f t="shared" si="54"/>
        <v>1.8773595482409394E-2</v>
      </c>
      <c r="H666">
        <f t="shared" si="55"/>
        <v>1877.3595482409394</v>
      </c>
      <c r="I666">
        <f t="shared" si="56"/>
        <v>8395.8071361500733</v>
      </c>
    </row>
    <row r="667" spans="1:9" x14ac:dyDescent="0.45">
      <c r="A667">
        <v>-8.4723751569981687E-3</v>
      </c>
      <c r="B667">
        <f t="shared" si="53"/>
        <v>7.1781140800919748E-5</v>
      </c>
      <c r="E667">
        <f t="shared" si="57"/>
        <v>6.8437932199310429E-5</v>
      </c>
      <c r="F667">
        <f t="shared" si="58"/>
        <v>8.2727221758808287E-3</v>
      </c>
      <c r="G667" s="1">
        <f t="shared" si="54"/>
        <v>1.9234079058922927E-2</v>
      </c>
      <c r="H667">
        <f t="shared" si="55"/>
        <v>1923.4079058922928</v>
      </c>
      <c r="I667">
        <f t="shared" si="56"/>
        <v>8601.7416520713705</v>
      </c>
    </row>
    <row r="668" spans="1:9" x14ac:dyDescent="0.45">
      <c r="A668">
        <v>-7.661128620384261E-4</v>
      </c>
      <c r="B668">
        <f t="shared" si="53"/>
        <v>5.869289173807085E-7</v>
      </c>
      <c r="E668">
        <f t="shared" si="57"/>
        <v>6.8605060807777445E-5</v>
      </c>
      <c r="F668">
        <f t="shared" si="58"/>
        <v>8.2828172023640262E-3</v>
      </c>
      <c r="G668" s="1">
        <f t="shared" si="54"/>
        <v>1.9257549995496361E-2</v>
      </c>
      <c r="H668">
        <f t="shared" si="55"/>
        <v>1925.7549995496361</v>
      </c>
      <c r="I668">
        <f t="shared" si="56"/>
        <v>8612.2381740061264</v>
      </c>
    </row>
    <row r="669" spans="1:9" x14ac:dyDescent="0.45">
      <c r="A669">
        <v>7.8928678703960031E-3</v>
      </c>
      <c r="B669">
        <f t="shared" si="53"/>
        <v>6.2297363219529544E-5</v>
      </c>
      <c r="E669">
        <f t="shared" si="57"/>
        <v>6.5203511960060058E-5</v>
      </c>
      <c r="F669">
        <f t="shared" si="58"/>
        <v>8.0748691605536278E-3</v>
      </c>
      <c r="G669" s="1">
        <f t="shared" si="54"/>
        <v>1.8774070798287187E-2</v>
      </c>
      <c r="H669">
        <f t="shared" si="55"/>
        <v>1877.4070798287187</v>
      </c>
      <c r="I669">
        <f t="shared" si="56"/>
        <v>8396.0197038727783</v>
      </c>
    </row>
    <row r="670" spans="1:9" x14ac:dyDescent="0.45">
      <c r="A670">
        <v>-8.348160918103531E-3</v>
      </c>
      <c r="B670">
        <f t="shared" si="53"/>
        <v>6.9691790714551189E-5</v>
      </c>
      <c r="E670">
        <f t="shared" si="57"/>
        <v>6.5057827605944371E-5</v>
      </c>
      <c r="F670">
        <f t="shared" si="58"/>
        <v>8.0658432668843979E-3</v>
      </c>
      <c r="G670" s="1">
        <f t="shared" si="54"/>
        <v>1.8753085595506227E-2</v>
      </c>
      <c r="H670">
        <f t="shared" si="55"/>
        <v>1875.3085595506227</v>
      </c>
      <c r="I670">
        <f t="shared" si="56"/>
        <v>8386.6348358848099</v>
      </c>
    </row>
    <row r="671" spans="1:9" x14ac:dyDescent="0.45">
      <c r="A671">
        <v>-1.2162672646809369E-2</v>
      </c>
      <c r="B671">
        <f t="shared" si="53"/>
        <v>1.4793060591344483E-4</v>
      </c>
      <c r="E671">
        <f t="shared" si="57"/>
        <v>6.5283135262364397E-5</v>
      </c>
      <c r="F671">
        <f t="shared" si="58"/>
        <v>8.0797979716305032E-3</v>
      </c>
      <c r="G671" s="1">
        <f t="shared" si="54"/>
        <v>1.8785530284040921E-2</v>
      </c>
      <c r="H671">
        <f t="shared" si="55"/>
        <v>1878.5530284040922</v>
      </c>
      <c r="I671">
        <f t="shared" si="56"/>
        <v>8401.1445416992865</v>
      </c>
    </row>
    <row r="672" spans="1:9" x14ac:dyDescent="0.45">
      <c r="A672">
        <v>3.7294512367225252E-3</v>
      </c>
      <c r="B672">
        <f t="shared" si="53"/>
        <v>1.3908806527091172E-5</v>
      </c>
      <c r="E672">
        <f t="shared" si="57"/>
        <v>6.9409482266915597E-5</v>
      </c>
      <c r="F672">
        <f t="shared" si="58"/>
        <v>8.3312353385866858E-3</v>
      </c>
      <c r="G672" s="1">
        <f t="shared" si="54"/>
        <v>1.9370122162214044E-2</v>
      </c>
      <c r="H672">
        <f t="shared" si="55"/>
        <v>1937.0122162214045</v>
      </c>
      <c r="I672">
        <f t="shared" si="56"/>
        <v>8662.581977437163</v>
      </c>
    </row>
    <row r="673" spans="1:9" x14ac:dyDescent="0.45">
      <c r="A673">
        <v>4.388539309729822E-4</v>
      </c>
      <c r="B673">
        <f t="shared" si="53"/>
        <v>1.9259277273043902E-7</v>
      </c>
      <c r="E673">
        <f t="shared" si="57"/>
        <v>6.6632843664306271E-5</v>
      </c>
      <c r="F673">
        <f t="shared" si="58"/>
        <v>8.1628943190700607E-3</v>
      </c>
      <c r="G673" s="1">
        <f t="shared" si="54"/>
        <v>1.8978729291837894E-2</v>
      </c>
      <c r="H673">
        <f t="shared" si="55"/>
        <v>1897.8729291837894</v>
      </c>
      <c r="I673">
        <f t="shared" si="56"/>
        <v>8487.5457646231953</v>
      </c>
    </row>
    <row r="674" spans="1:9" x14ac:dyDescent="0.45">
      <c r="A674">
        <v>-8.6233967522275634E-3</v>
      </c>
      <c r="B674">
        <f t="shared" si="53"/>
        <v>7.4362971546328892E-5</v>
      </c>
      <c r="E674">
        <f t="shared" si="57"/>
        <v>6.3310031610794388E-5</v>
      </c>
      <c r="F674">
        <f t="shared" si="58"/>
        <v>7.9567601202244608E-3</v>
      </c>
      <c r="G674" s="1">
        <f t="shared" si="54"/>
        <v>1.8499467279521873E-2</v>
      </c>
      <c r="H674">
        <f t="shared" si="55"/>
        <v>1849.9467279521873</v>
      </c>
      <c r="I674">
        <f t="shared" si="56"/>
        <v>8273.2132769088021</v>
      </c>
    </row>
    <row r="675" spans="1:9" x14ac:dyDescent="0.45">
      <c r="A675">
        <v>3.9476844904129393E-3</v>
      </c>
      <c r="B675">
        <f t="shared" si="53"/>
        <v>1.5584212835846869E-5</v>
      </c>
      <c r="E675">
        <f t="shared" si="57"/>
        <v>6.3862431560227854E-5</v>
      </c>
      <c r="F675">
        <f t="shared" si="58"/>
        <v>7.9913973471619996E-3</v>
      </c>
      <c r="G675" s="1">
        <f t="shared" si="54"/>
        <v>1.857999883215165E-2</v>
      </c>
      <c r="H675">
        <f t="shared" si="55"/>
        <v>1857.999883215165</v>
      </c>
      <c r="I675">
        <f t="shared" si="56"/>
        <v>8309.2280821115601</v>
      </c>
    </row>
    <row r="676" spans="1:9" x14ac:dyDescent="0.45">
      <c r="A676">
        <v>-8.3752865975839086E-3</v>
      </c>
      <c r="B676">
        <f t="shared" si="53"/>
        <v>7.0145425591668651E-5</v>
      </c>
      <c r="E676">
        <f t="shared" si="57"/>
        <v>6.1444165751465155E-5</v>
      </c>
      <c r="F676">
        <f t="shared" si="58"/>
        <v>7.8386329006699344E-3</v>
      </c>
      <c r="G676" s="1">
        <f t="shared" si="54"/>
        <v>1.8224821494057599E-2</v>
      </c>
      <c r="H676">
        <f t="shared" si="55"/>
        <v>1822.4821494057599</v>
      </c>
      <c r="I676">
        <f t="shared" si="56"/>
        <v>8150.3879477024147</v>
      </c>
    </row>
    <row r="677" spans="1:9" x14ac:dyDescent="0.45">
      <c r="A677">
        <v>-1.2818463801522739E-2</v>
      </c>
      <c r="B677">
        <f t="shared" si="53"/>
        <v>1.643130142309488E-4</v>
      </c>
      <c r="E677">
        <f t="shared" si="57"/>
        <v>6.1875234533318452E-5</v>
      </c>
      <c r="F677">
        <f t="shared" si="58"/>
        <v>7.8660812691783485E-3</v>
      </c>
      <c r="G677" s="1">
        <f t="shared" si="54"/>
        <v>1.828863895083966E-2</v>
      </c>
      <c r="H677">
        <f t="shared" si="55"/>
        <v>1828.8638950839661</v>
      </c>
      <c r="I677">
        <f t="shared" si="56"/>
        <v>8178.9279820055835</v>
      </c>
    </row>
    <row r="678" spans="1:9" x14ac:dyDescent="0.45">
      <c r="A678">
        <v>-4.5480305743694771E-3</v>
      </c>
      <c r="B678">
        <f t="shared" si="53"/>
        <v>2.0684582105399555E-5</v>
      </c>
      <c r="E678">
        <f t="shared" si="57"/>
        <v>6.6996266554616751E-5</v>
      </c>
      <c r="F678">
        <f t="shared" si="58"/>
        <v>8.1851247122213568E-3</v>
      </c>
      <c r="G678" s="1">
        <f t="shared" si="54"/>
        <v>1.9030414955914655E-2</v>
      </c>
      <c r="H678">
        <f t="shared" si="55"/>
        <v>1903.0414955914655</v>
      </c>
      <c r="I678">
        <f t="shared" si="56"/>
        <v>8510.6602962907673</v>
      </c>
    </row>
    <row r="679" spans="1:9" x14ac:dyDescent="0.45">
      <c r="A679">
        <v>6.6890606831293553E-3</v>
      </c>
      <c r="B679">
        <f t="shared" si="53"/>
        <v>4.4743532822586957E-5</v>
      </c>
      <c r="E679">
        <f t="shared" si="57"/>
        <v>6.4672187989555854E-5</v>
      </c>
      <c r="F679">
        <f t="shared" si="58"/>
        <v>8.0419020131779675E-3</v>
      </c>
      <c r="G679" s="1">
        <f t="shared" si="54"/>
        <v>1.8697422180638777E-2</v>
      </c>
      <c r="H679">
        <f t="shared" si="55"/>
        <v>1869.7422180638775</v>
      </c>
      <c r="I679">
        <f t="shared" si="56"/>
        <v>8361.7413999841319</v>
      </c>
    </row>
    <row r="680" spans="1:9" x14ac:dyDescent="0.45">
      <c r="A680">
        <v>-1.2694226825260557E-2</v>
      </c>
      <c r="B680">
        <f t="shared" si="53"/>
        <v>1.6114339469116472E-4</v>
      </c>
      <c r="E680">
        <f t="shared" si="57"/>
        <v>6.367381145471638E-5</v>
      </c>
      <c r="F680">
        <f t="shared" si="58"/>
        <v>7.9795871732011546E-3</v>
      </c>
      <c r="G680" s="1">
        <f t="shared" si="54"/>
        <v>1.8552540177692686E-2</v>
      </c>
      <c r="H680">
        <f t="shared" si="55"/>
        <v>1855.2540177692686</v>
      </c>
      <c r="I680">
        <f t="shared" si="56"/>
        <v>8296.9481985233742</v>
      </c>
    </row>
    <row r="681" spans="1:9" x14ac:dyDescent="0.45">
      <c r="A681">
        <v>1.3654107533511706E-2</v>
      </c>
      <c r="B681">
        <f t="shared" si="53"/>
        <v>1.864346525367011E-4</v>
      </c>
      <c r="E681">
        <f t="shared" si="57"/>
        <v>6.8543279737283045E-5</v>
      </c>
      <c r="F681">
        <f t="shared" si="58"/>
        <v>8.2790868903088004E-3</v>
      </c>
      <c r="G681" s="1">
        <f t="shared" si="54"/>
        <v>1.9248877019967962E-2</v>
      </c>
      <c r="H681">
        <f t="shared" si="55"/>
        <v>1924.8877019967963</v>
      </c>
      <c r="I681">
        <f t="shared" si="56"/>
        <v>8608.3595014363891</v>
      </c>
    </row>
    <row r="682" spans="1:9" x14ac:dyDescent="0.45">
      <c r="A682">
        <v>-1.2002328730886802E-2</v>
      </c>
      <c r="B682">
        <f t="shared" si="53"/>
        <v>1.440558949642708E-4</v>
      </c>
      <c r="E682">
        <f t="shared" si="57"/>
        <v>7.4435476390053912E-5</v>
      </c>
      <c r="F682">
        <f t="shared" si="58"/>
        <v>8.6275996887925852E-3</v>
      </c>
      <c r="G682" s="1">
        <f t="shared" si="54"/>
        <v>2.0059169276442763E-2</v>
      </c>
      <c r="H682">
        <f t="shared" si="55"/>
        <v>2005.9169276442763</v>
      </c>
      <c r="I682">
        <f t="shared" si="56"/>
        <v>8970.7332148602582</v>
      </c>
    </row>
    <row r="683" spans="1:9" x14ac:dyDescent="0.45">
      <c r="A683">
        <v>-4.3840600483235903E-3</v>
      </c>
      <c r="B683">
        <f t="shared" si="53"/>
        <v>1.9219982507307043E-5</v>
      </c>
      <c r="E683">
        <f t="shared" si="57"/>
        <v>7.791499055197367E-5</v>
      </c>
      <c r="F683">
        <f t="shared" si="58"/>
        <v>8.8269468420271828E-3</v>
      </c>
      <c r="G683" s="1">
        <f t="shared" si="54"/>
        <v>2.0522651407713203E-2</v>
      </c>
      <c r="H683">
        <f t="shared" si="55"/>
        <v>2052.2651407713201</v>
      </c>
      <c r="I683">
        <f t="shared" si="56"/>
        <v>9178.0087252356952</v>
      </c>
    </row>
    <row r="684" spans="1:9" x14ac:dyDescent="0.45">
      <c r="A684">
        <v>1.091120793716982E-3</v>
      </c>
      <c r="B684">
        <f t="shared" si="53"/>
        <v>1.1905445864815768E-6</v>
      </c>
      <c r="E684">
        <f t="shared" si="57"/>
        <v>7.497936184727144E-5</v>
      </c>
      <c r="F684">
        <f t="shared" si="58"/>
        <v>8.6590624115588551E-3</v>
      </c>
      <c r="G684" s="1">
        <f t="shared" si="54"/>
        <v>2.0132320106874338E-2</v>
      </c>
      <c r="H684">
        <f t="shared" si="55"/>
        <v>2013.2320106874338</v>
      </c>
      <c r="I684">
        <f t="shared" si="56"/>
        <v>9003.4472607513708</v>
      </c>
    </row>
    <row r="685" spans="1:9" x14ac:dyDescent="0.45">
      <c r="A685">
        <v>1.1684574019454885E-2</v>
      </c>
      <c r="B685">
        <f t="shared" si="53"/>
        <v>1.3652927001612009E-4</v>
      </c>
      <c r="E685">
        <f t="shared" si="57"/>
        <v>7.1286927006787177E-5</v>
      </c>
      <c r="F685">
        <f t="shared" si="58"/>
        <v>8.4431585918296696E-3</v>
      </c>
      <c r="G685" s="1">
        <f t="shared" si="54"/>
        <v>1.9630343726003984E-2</v>
      </c>
      <c r="H685">
        <f t="shared" si="55"/>
        <v>1963.0343726003985</v>
      </c>
      <c r="I685">
        <f t="shared" si="56"/>
        <v>8778.9565986062844</v>
      </c>
    </row>
    <row r="686" spans="1:9" x14ac:dyDescent="0.45">
      <c r="A686">
        <v>8.2177166405017488E-3</v>
      </c>
      <c r="B686">
        <f t="shared" si="53"/>
        <v>6.7530866783579345E-5</v>
      </c>
      <c r="E686">
        <f t="shared" si="57"/>
        <v>7.4546911210007189E-5</v>
      </c>
      <c r="F686">
        <f t="shared" si="58"/>
        <v>8.6340553165941206E-3</v>
      </c>
      <c r="G686" s="1">
        <f t="shared" si="54"/>
        <v>2.0074178611081333E-2</v>
      </c>
      <c r="H686">
        <f t="shared" si="55"/>
        <v>2007.4178611081334</v>
      </c>
      <c r="I686">
        <f t="shared" si="56"/>
        <v>8977.4455933700356</v>
      </c>
    </row>
    <row r="687" spans="1:9" x14ac:dyDescent="0.45">
      <c r="A687">
        <v>-6.6431994127924554E-3</v>
      </c>
      <c r="B687">
        <f t="shared" si="53"/>
        <v>4.4132098438126022E-5</v>
      </c>
      <c r="E687">
        <f t="shared" si="57"/>
        <v>7.4194281272962646E-5</v>
      </c>
      <c r="F687">
        <f t="shared" si="58"/>
        <v>8.6136102345626617E-3</v>
      </c>
      <c r="G687" s="1">
        <f t="shared" si="54"/>
        <v>2.0026643795358189E-2</v>
      </c>
      <c r="H687">
        <f t="shared" si="55"/>
        <v>2002.6643795358189</v>
      </c>
      <c r="I687">
        <f t="shared" si="56"/>
        <v>8956.1873775190597</v>
      </c>
    </row>
    <row r="688" spans="1:9" x14ac:dyDescent="0.45">
      <c r="A688">
        <v>1.0287476470693946E-2</v>
      </c>
      <c r="B688">
        <f t="shared" si="53"/>
        <v>1.0583217213508156E-4</v>
      </c>
      <c r="E688">
        <f t="shared" si="57"/>
        <v>7.2689983435494696E-5</v>
      </c>
      <c r="F688">
        <f t="shared" si="58"/>
        <v>8.5258420953882724E-3</v>
      </c>
      <c r="G688" s="1">
        <f t="shared" si="54"/>
        <v>1.9822582871777735E-2</v>
      </c>
      <c r="H688">
        <f t="shared" si="55"/>
        <v>1982.2582871777736</v>
      </c>
      <c r="I688">
        <f t="shared" si="56"/>
        <v>8864.9285581836029</v>
      </c>
    </row>
    <row r="689" spans="1:9" x14ac:dyDescent="0.45">
      <c r="A689">
        <v>1.1782026376749855E-2</v>
      </c>
      <c r="B689">
        <f t="shared" si="53"/>
        <v>1.3881614554242931E-4</v>
      </c>
      <c r="E689">
        <f t="shared" si="57"/>
        <v>7.4346574481269233E-5</v>
      </c>
      <c r="F689">
        <f t="shared" si="58"/>
        <v>8.6224459685908875E-3</v>
      </c>
      <c r="G689" s="1">
        <f t="shared" si="54"/>
        <v>2.0047186876973815E-2</v>
      </c>
      <c r="H689">
        <f t="shared" si="55"/>
        <v>2004.7186876973815</v>
      </c>
      <c r="I689">
        <f t="shared" si="56"/>
        <v>8965.3745229110336</v>
      </c>
    </row>
    <row r="690" spans="1:9" x14ac:dyDescent="0.45">
      <c r="A690">
        <v>3.4674712878768332E-3</v>
      </c>
      <c r="B690">
        <f t="shared" si="53"/>
        <v>1.2023357132250225E-5</v>
      </c>
      <c r="E690">
        <f t="shared" si="57"/>
        <v>7.7569454538924053E-5</v>
      </c>
      <c r="F690">
        <f t="shared" si="58"/>
        <v>8.8073523001481017E-3</v>
      </c>
      <c r="G690" s="1">
        <f t="shared" si="54"/>
        <v>2.0477094097844338E-2</v>
      </c>
      <c r="H690">
        <f t="shared" si="55"/>
        <v>2047.7094097844338</v>
      </c>
      <c r="I690">
        <f t="shared" si="56"/>
        <v>9157.6348768879343</v>
      </c>
    </row>
    <row r="691" spans="1:9" x14ac:dyDescent="0.45">
      <c r="A691">
        <v>-2.5041003937076312E-3</v>
      </c>
      <c r="B691">
        <f t="shared" si="53"/>
        <v>6.2705187817667137E-6</v>
      </c>
      <c r="E691">
        <f t="shared" si="57"/>
        <v>7.4290941238199803E-5</v>
      </c>
      <c r="F691">
        <f t="shared" si="58"/>
        <v>8.6192192940080029E-3</v>
      </c>
      <c r="G691" s="1">
        <f t="shared" si="54"/>
        <v>2.0039684858568607E-2</v>
      </c>
      <c r="H691">
        <f t="shared" si="55"/>
        <v>2003.9684858568608</v>
      </c>
      <c r="I691">
        <f t="shared" si="56"/>
        <v>8962.0195182865336</v>
      </c>
    </row>
    <row r="692" spans="1:9" x14ac:dyDescent="0.45">
      <c r="A692">
        <v>6.7783048507408239E-3</v>
      </c>
      <c r="B692">
        <f t="shared" si="53"/>
        <v>4.5945416649576583E-5</v>
      </c>
      <c r="E692">
        <f t="shared" si="57"/>
        <v>7.0888753810081822E-5</v>
      </c>
      <c r="F692">
        <f t="shared" si="58"/>
        <v>8.4195459384744636E-3</v>
      </c>
      <c r="G692" s="1">
        <f t="shared" si="54"/>
        <v>1.957544430695313E-2</v>
      </c>
      <c r="H692">
        <f t="shared" si="55"/>
        <v>1957.5444306953129</v>
      </c>
      <c r="I692">
        <f t="shared" si="56"/>
        <v>8754.4048320216916</v>
      </c>
    </row>
    <row r="693" spans="1:9" x14ac:dyDescent="0.45">
      <c r="A693">
        <v>-1.6614558262517676E-2</v>
      </c>
      <c r="B693">
        <f t="shared" si="53"/>
        <v>2.7604354625859436E-4</v>
      </c>
      <c r="E693">
        <f t="shared" si="57"/>
        <v>6.9640555790793208E-5</v>
      </c>
      <c r="F693">
        <f t="shared" si="58"/>
        <v>8.3450917185369042E-3</v>
      </c>
      <c r="G693" s="1">
        <f t="shared" si="54"/>
        <v>1.9402338245598304E-2</v>
      </c>
      <c r="H693">
        <f t="shared" si="55"/>
        <v>1940.2338245598303</v>
      </c>
      <c r="I693">
        <f t="shared" si="56"/>
        <v>8676.9894479203631</v>
      </c>
    </row>
    <row r="694" spans="1:9" x14ac:dyDescent="0.45">
      <c r="A694">
        <v>6.9214593167998828E-3</v>
      </c>
      <c r="B694">
        <f t="shared" si="53"/>
        <v>4.7906599074115902E-5</v>
      </c>
      <c r="E694">
        <f t="shared" si="57"/>
        <v>7.9960651113938197E-5</v>
      </c>
      <c r="F694">
        <f t="shared" si="58"/>
        <v>8.9420719698478264E-3</v>
      </c>
      <c r="G694" s="1">
        <f t="shared" si="54"/>
        <v>2.0790317329896196E-2</v>
      </c>
      <c r="H694">
        <f t="shared" si="55"/>
        <v>2079.0317329896197</v>
      </c>
      <c r="I694">
        <f t="shared" si="56"/>
        <v>9297.7125646879649</v>
      </c>
    </row>
    <row r="695" spans="1:9" x14ac:dyDescent="0.45">
      <c r="A695">
        <v>-2.111255525960587E-3</v>
      </c>
      <c r="B695">
        <f t="shared" si="53"/>
        <v>4.4573998958991145E-6</v>
      </c>
      <c r="E695">
        <f t="shared" si="57"/>
        <v>7.8356115661587153E-5</v>
      </c>
      <c r="F695">
        <f t="shared" si="58"/>
        <v>8.8518989861829742E-3</v>
      </c>
      <c r="G695" s="1">
        <f t="shared" si="54"/>
        <v>2.0580665142875418E-2</v>
      </c>
      <c r="H695">
        <f t="shared" si="55"/>
        <v>2058.0665142875418</v>
      </c>
      <c r="I695">
        <f t="shared" si="56"/>
        <v>9203.9532563259727</v>
      </c>
    </row>
    <row r="696" spans="1:9" x14ac:dyDescent="0.45">
      <c r="A696">
        <v>1.0260237104375847E-2</v>
      </c>
      <c r="B696">
        <f t="shared" si="53"/>
        <v>1.0527246543801086E-4</v>
      </c>
      <c r="E696">
        <f t="shared" si="57"/>
        <v>7.4661169071315076E-5</v>
      </c>
      <c r="F696">
        <f t="shared" si="58"/>
        <v>8.6406694805041054E-3</v>
      </c>
      <c r="G696" s="1">
        <f t="shared" si="54"/>
        <v>2.0089556542172045E-2</v>
      </c>
      <c r="H696">
        <f t="shared" si="55"/>
        <v>2008.9556542172045</v>
      </c>
      <c r="I696">
        <f t="shared" si="56"/>
        <v>8984.3228132244622</v>
      </c>
    </row>
    <row r="697" spans="1:9" x14ac:dyDescent="0.45">
      <c r="A697">
        <v>7.3773662734311074E-4</v>
      </c>
      <c r="B697">
        <f t="shared" si="53"/>
        <v>5.4425533132358785E-7</v>
      </c>
      <c r="E697">
        <f t="shared" si="57"/>
        <v>7.6190984706354489E-5</v>
      </c>
      <c r="F697">
        <f t="shared" si="58"/>
        <v>8.7287447382973973E-3</v>
      </c>
      <c r="G697" s="1">
        <f t="shared" si="54"/>
        <v>2.0294331516541451E-2</v>
      </c>
      <c r="H697">
        <f t="shared" si="55"/>
        <v>2029.4331516541451</v>
      </c>
      <c r="I697">
        <f t="shared" si="56"/>
        <v>9075.9009657806164</v>
      </c>
    </row>
    <row r="698" spans="1:9" x14ac:dyDescent="0.45">
      <c r="A698">
        <v>-2.3001575755188242E-3</v>
      </c>
      <c r="B698">
        <f t="shared" si="53"/>
        <v>5.2907248722166351E-6</v>
      </c>
      <c r="E698">
        <f t="shared" si="57"/>
        <v>7.2405394324277504E-5</v>
      </c>
      <c r="F698">
        <f t="shared" si="58"/>
        <v>8.5091359328828154E-3</v>
      </c>
      <c r="G698" s="1">
        <f t="shared" si="54"/>
        <v>1.9783741043952547E-2</v>
      </c>
      <c r="H698">
        <f t="shared" si="55"/>
        <v>1978.3741043952548</v>
      </c>
      <c r="I698">
        <f t="shared" si="56"/>
        <v>8847.5579647061113</v>
      </c>
    </row>
    <row r="699" spans="1:9" x14ac:dyDescent="0.45">
      <c r="A699">
        <v>1.5658906704629771E-2</v>
      </c>
      <c r="B699">
        <f t="shared" si="53"/>
        <v>2.4520135918429923E-4</v>
      </c>
      <c r="E699">
        <f t="shared" si="57"/>
        <v>6.9049270868704171E-5</v>
      </c>
      <c r="F699">
        <f t="shared" si="58"/>
        <v>8.3095890914475536E-3</v>
      </c>
      <c r="G699" s="1">
        <f t="shared" si="54"/>
        <v>1.9319794637615562E-2</v>
      </c>
      <c r="H699">
        <f t="shared" si="55"/>
        <v>1931.9794637615562</v>
      </c>
      <c r="I699">
        <f t="shared" si="56"/>
        <v>8640.074824208863</v>
      </c>
    </row>
    <row r="700" spans="1:9" x14ac:dyDescent="0.45">
      <c r="A700">
        <v>-2.3678694560658187E-4</v>
      </c>
      <c r="B700">
        <f t="shared" si="53"/>
        <v>5.606805760969436E-8</v>
      </c>
      <c r="E700">
        <f t="shared" si="57"/>
        <v>7.7856620292544876E-5</v>
      </c>
      <c r="F700">
        <f t="shared" si="58"/>
        <v>8.8236398551020251E-3</v>
      </c>
      <c r="G700" s="1">
        <f t="shared" si="54"/>
        <v>2.0514962663112209E-2</v>
      </c>
      <c r="H700">
        <f t="shared" si="55"/>
        <v>2051.496266311221</v>
      </c>
      <c r="I700">
        <f t="shared" si="56"/>
        <v>9174.5702141178044</v>
      </c>
    </row>
    <row r="701" spans="1:9" x14ac:dyDescent="0.45">
      <c r="A701">
        <v>1.4450552043854259E-2</v>
      </c>
      <c r="B701">
        <f t="shared" si="53"/>
        <v>2.0881845437214049E-4</v>
      </c>
      <c r="E701">
        <f t="shared" si="57"/>
        <v>7.3955698987181781E-5</v>
      </c>
      <c r="F701">
        <f t="shared" si="58"/>
        <v>8.599749937479681E-3</v>
      </c>
      <c r="G701" s="1">
        <f t="shared" si="54"/>
        <v>1.9994418604640261E-2</v>
      </c>
      <c r="H701">
        <f t="shared" si="55"/>
        <v>1999.4418604640261</v>
      </c>
      <c r="I701">
        <f t="shared" si="56"/>
        <v>8941.7758341124245</v>
      </c>
    </row>
    <row r="702" spans="1:9" x14ac:dyDescent="0.45">
      <c r="A702">
        <v>-5.0068024393112864E-3</v>
      </c>
      <c r="B702">
        <f t="shared" si="53"/>
        <v>2.5068070666293449E-5</v>
      </c>
      <c r="E702">
        <f t="shared" si="57"/>
        <v>8.0695791401028382E-5</v>
      </c>
      <c r="F702">
        <f t="shared" si="58"/>
        <v>8.9830836242922943E-3</v>
      </c>
      <c r="G702" s="1">
        <f t="shared" si="54"/>
        <v>2.0885669426479587E-2</v>
      </c>
      <c r="H702">
        <f t="shared" si="55"/>
        <v>2088.5669426479585</v>
      </c>
      <c r="I702">
        <f t="shared" si="56"/>
        <v>9340.3553186394802</v>
      </c>
    </row>
    <row r="703" spans="1:9" x14ac:dyDescent="0.45">
      <c r="A703">
        <v>7.8897301136748865E-3</v>
      </c>
      <c r="B703">
        <f t="shared" si="53"/>
        <v>6.2247841266628343E-5</v>
      </c>
      <c r="E703">
        <f t="shared" si="57"/>
        <v>7.7909130238602823E-5</v>
      </c>
      <c r="F703">
        <f t="shared" si="58"/>
        <v>8.8266148799300646E-3</v>
      </c>
      <c r="G703" s="1">
        <f t="shared" si="54"/>
        <v>2.05218795958374E-2</v>
      </c>
      <c r="H703">
        <f t="shared" si="55"/>
        <v>2052.1879595837399</v>
      </c>
      <c r="I703">
        <f t="shared" si="56"/>
        <v>9177.6635604716666</v>
      </c>
    </row>
    <row r="704" spans="1:9" x14ac:dyDescent="0.45">
      <c r="A704">
        <v>1.3753879102296196E-2</v>
      </c>
      <c r="B704">
        <f t="shared" si="53"/>
        <v>1.8916919036058002E-4</v>
      </c>
      <c r="E704">
        <f t="shared" si="57"/>
        <v>7.7124126938222699E-5</v>
      </c>
      <c r="F704">
        <f t="shared" si="58"/>
        <v>8.7820343280029765E-3</v>
      </c>
      <c r="G704" s="1">
        <f t="shared" si="54"/>
        <v>2.0418229812606922E-2</v>
      </c>
      <c r="H704">
        <f t="shared" si="55"/>
        <v>2041.8229812606921</v>
      </c>
      <c r="I704">
        <f t="shared" si="56"/>
        <v>9131.3099682403736</v>
      </c>
    </row>
    <row r="705" spans="1:9" x14ac:dyDescent="0.45">
      <c r="A705">
        <v>-1.7135516827693209E-2</v>
      </c>
      <c r="B705">
        <f t="shared" si="53"/>
        <v>2.9362593695215713E-4</v>
      </c>
      <c r="E705">
        <f t="shared" si="57"/>
        <v>8.2725822660323345E-5</v>
      </c>
      <c r="F705">
        <f t="shared" si="58"/>
        <v>9.095373695474163E-3</v>
      </c>
      <c r="G705" s="1">
        <f t="shared" si="54"/>
        <v>2.1146743841977431E-2</v>
      </c>
      <c r="H705">
        <f t="shared" si="55"/>
        <v>2114.6743841977432</v>
      </c>
      <c r="I705">
        <f t="shared" si="56"/>
        <v>9457.1113466873212</v>
      </c>
    </row>
    <row r="706" spans="1:9" x14ac:dyDescent="0.45">
      <c r="A706">
        <v>3.1472882255911827E-2</v>
      </c>
      <c r="B706">
        <f t="shared" si="53"/>
        <v>9.9054231749448954E-4</v>
      </c>
      <c r="E706">
        <f t="shared" si="57"/>
        <v>9.3270813633348297E-5</v>
      </c>
      <c r="F706">
        <f t="shared" si="58"/>
        <v>9.6576815868689887E-3</v>
      </c>
      <c r="G706" s="1">
        <f t="shared" si="54"/>
        <v>2.2454109689470401E-2</v>
      </c>
      <c r="H706">
        <f t="shared" si="55"/>
        <v>2245.4109689470401</v>
      </c>
      <c r="I706">
        <f t="shared" si="56"/>
        <v>10041.783127978502</v>
      </c>
    </row>
    <row r="707" spans="1:9" x14ac:dyDescent="0.45">
      <c r="A707">
        <v>1.4035049389349297E-2</v>
      </c>
      <c r="B707">
        <f t="shared" ref="B707:B770" si="59">A707^2</f>
        <v>1.9698261136147407E-4</v>
      </c>
      <c r="E707">
        <f t="shared" si="57"/>
        <v>1.3813071239697388E-4</v>
      </c>
      <c r="F707">
        <f t="shared" si="58"/>
        <v>1.1752902296750956E-2</v>
      </c>
      <c r="G707" s="1">
        <f t="shared" si="54"/>
        <v>2.7325497839945975E-2</v>
      </c>
      <c r="H707">
        <f t="shared" si="55"/>
        <v>2732.5497839945974</v>
      </c>
      <c r="I707">
        <f t="shared" si="56"/>
        <v>12220.334137828573</v>
      </c>
    </row>
    <row r="708" spans="1:9" x14ac:dyDescent="0.45">
      <c r="A708">
        <v>1.1516658560140058E-2</v>
      </c>
      <c r="B708">
        <f t="shared" si="59"/>
        <v>1.3263342439084728E-4</v>
      </c>
      <c r="E708">
        <f t="shared" si="57"/>
        <v>1.4107266658169154E-4</v>
      </c>
      <c r="F708">
        <f t="shared" si="58"/>
        <v>1.1877401507976884E-2</v>
      </c>
      <c r="G708" s="1">
        <f t="shared" si="54"/>
        <v>2.7614958506046255E-2</v>
      </c>
      <c r="H708">
        <f t="shared" si="55"/>
        <v>2761.4958506046255</v>
      </c>
      <c r="I708">
        <f t="shared" si="56"/>
        <v>12349.784883071094</v>
      </c>
    </row>
    <row r="709" spans="1:9" x14ac:dyDescent="0.45">
      <c r="A709">
        <v>-1.2149848771514371E-2</v>
      </c>
      <c r="B709">
        <f t="shared" si="59"/>
        <v>1.4761882517066928E-4</v>
      </c>
      <c r="E709">
        <f t="shared" si="57"/>
        <v>1.4064697192875064E-4</v>
      </c>
      <c r="F709">
        <f t="shared" si="58"/>
        <v>1.1859467607306436E-2</v>
      </c>
      <c r="G709" s="1">
        <f t="shared" si="54"/>
        <v>2.7573262186987465E-2</v>
      </c>
      <c r="H709">
        <f t="shared" si="55"/>
        <v>2757.3262186987463</v>
      </c>
      <c r="I709">
        <f t="shared" si="56"/>
        <v>12331.137722305697</v>
      </c>
    </row>
    <row r="710" spans="1:9" x14ac:dyDescent="0.45">
      <c r="A710">
        <v>9.3414200819097459E-3</v>
      </c>
      <c r="B710">
        <f t="shared" si="59"/>
        <v>8.7262129146706681E-5</v>
      </c>
      <c r="E710">
        <f t="shared" si="57"/>
        <v>1.4099497259250648E-4</v>
      </c>
      <c r="F710">
        <f t="shared" si="58"/>
        <v>1.1874130393106962E-2</v>
      </c>
      <c r="G710" s="1">
        <f t="shared" si="54"/>
        <v>2.760735316397369E-2</v>
      </c>
      <c r="H710">
        <f t="shared" si="55"/>
        <v>2760.7353163973689</v>
      </c>
      <c r="I710">
        <f t="shared" si="56"/>
        <v>12346.383670697815</v>
      </c>
    </row>
    <row r="711" spans="1:9" x14ac:dyDescent="0.45">
      <c r="A711">
        <v>5.6747580856608693E-3</v>
      </c>
      <c r="B711">
        <f t="shared" si="59"/>
        <v>3.2202879330773412E-5</v>
      </c>
      <c r="E711">
        <f t="shared" si="57"/>
        <v>1.3830812804679275E-4</v>
      </c>
      <c r="F711">
        <f t="shared" si="58"/>
        <v>1.1760447612518527E-2</v>
      </c>
      <c r="G711" s="1">
        <f t="shared" si="54"/>
        <v>2.7343040699105578E-2</v>
      </c>
      <c r="H711">
        <f t="shared" si="55"/>
        <v>2734.3040699105577</v>
      </c>
      <c r="I711">
        <f t="shared" si="56"/>
        <v>12228.17954294869</v>
      </c>
    </row>
    <row r="712" spans="1:9" x14ac:dyDescent="0.45">
      <c r="A712">
        <v>1.6650005818519276E-3</v>
      </c>
      <c r="B712">
        <f t="shared" si="59"/>
        <v>2.7722269375672572E-6</v>
      </c>
      <c r="E712">
        <f t="shared" si="57"/>
        <v>1.3299956621582915E-4</v>
      </c>
      <c r="F712">
        <f t="shared" si="58"/>
        <v>1.1532543787726503E-2</v>
      </c>
      <c r="G712" s="1">
        <f t="shared" si="54"/>
        <v>2.6813164306464122E-2</v>
      </c>
      <c r="H712">
        <f t="shared" si="55"/>
        <v>2681.3164306464123</v>
      </c>
      <c r="I712">
        <f t="shared" si="56"/>
        <v>11991.211616224957</v>
      </c>
    </row>
    <row r="713" spans="1:9" x14ac:dyDescent="0.45">
      <c r="A713">
        <v>-1.1075076145061757E-2</v>
      </c>
      <c r="B713">
        <f t="shared" si="59"/>
        <v>1.22657311618916E-4</v>
      </c>
      <c r="E713">
        <f t="shared" si="57"/>
        <v>1.2648697552578505E-4</v>
      </c>
      <c r="F713">
        <f t="shared" si="58"/>
        <v>1.1246642855794126E-2</v>
      </c>
      <c r="G713" s="1">
        <f t="shared" si="54"/>
        <v>2.6148444639721345E-2</v>
      </c>
      <c r="H713">
        <f t="shared" si="55"/>
        <v>2614.8444639721347</v>
      </c>
      <c r="I713">
        <f t="shared" si="56"/>
        <v>11693.939944061387</v>
      </c>
    </row>
    <row r="714" spans="1:9" x14ac:dyDescent="0.45">
      <c r="A714">
        <v>2.3678694560658187E-4</v>
      </c>
      <c r="B714">
        <f t="shared" si="59"/>
        <v>5.606805760969436E-8</v>
      </c>
      <c r="E714">
        <f t="shared" si="57"/>
        <v>1.2629547673309428E-4</v>
      </c>
      <c r="F714">
        <f t="shared" si="58"/>
        <v>1.1238126032977842E-2</v>
      </c>
      <c r="G714" s="1">
        <f t="shared" si="54"/>
        <v>2.6128643026673486E-2</v>
      </c>
      <c r="H714">
        <f t="shared" si="55"/>
        <v>2612.8643026673485</v>
      </c>
      <c r="I714">
        <f t="shared" si="56"/>
        <v>11685.084393493553</v>
      </c>
    </row>
    <row r="715" spans="1:9" x14ac:dyDescent="0.45">
      <c r="A715">
        <v>-4.9254595069214702E-3</v>
      </c>
      <c r="B715">
        <f t="shared" si="59"/>
        <v>2.4260151354323092E-5</v>
      </c>
      <c r="E715">
        <f t="shared" si="57"/>
        <v>1.1997866134487019E-4</v>
      </c>
      <c r="F715">
        <f t="shared" si="58"/>
        <v>1.0953477134904249E-2</v>
      </c>
      <c r="G715" s="1">
        <f t="shared" si="54"/>
        <v>2.5466834338652381E-2</v>
      </c>
      <c r="H715">
        <f t="shared" si="55"/>
        <v>2546.6834338652379</v>
      </c>
      <c r="I715">
        <f t="shared" si="56"/>
        <v>11389.114550590524</v>
      </c>
    </row>
    <row r="716" spans="1:9" x14ac:dyDescent="0.45">
      <c r="A716">
        <v>-1.1469273886177689E-2</v>
      </c>
      <c r="B716">
        <f t="shared" si="59"/>
        <v>1.3154424347615746E-4</v>
      </c>
      <c r="E716">
        <f t="shared" si="57"/>
        <v>1.1519263454093004E-4</v>
      </c>
      <c r="F716">
        <f t="shared" si="58"/>
        <v>1.0732783168448435E-2</v>
      </c>
      <c r="G716" s="1">
        <f t="shared" si="54"/>
        <v>2.4953720866642614E-2</v>
      </c>
      <c r="H716">
        <f t="shared" si="55"/>
        <v>2495.3720866642616</v>
      </c>
      <c r="I716">
        <f t="shared" si="56"/>
        <v>11159.643229873571</v>
      </c>
    </row>
    <row r="717" spans="1:9" x14ac:dyDescent="0.45">
      <c r="A717">
        <v>3.1636773201171309E-4</v>
      </c>
      <c r="B717">
        <f t="shared" si="59"/>
        <v>1.0008854185823511E-7</v>
      </c>
      <c r="E717">
        <f t="shared" si="57"/>
        <v>1.160100466416415E-4</v>
      </c>
      <c r="F717">
        <f t="shared" si="58"/>
        <v>1.077079600780005E-2</v>
      </c>
      <c r="G717" s="1">
        <f t="shared" si="54"/>
        <v>2.5042100718135119E-2</v>
      </c>
      <c r="H717">
        <f t="shared" si="55"/>
        <v>2504.2100718135121</v>
      </c>
      <c r="I717">
        <f t="shared" si="56"/>
        <v>11199.167901029286</v>
      </c>
    </row>
    <row r="718" spans="1:9" x14ac:dyDescent="0.45">
      <c r="A718">
        <v>1.2317991604504641E-2</v>
      </c>
      <c r="B718">
        <f t="shared" si="59"/>
        <v>1.5173291716864682E-4</v>
      </c>
      <c r="E718">
        <f t="shared" si="57"/>
        <v>1.1021452947188394E-4</v>
      </c>
      <c r="F718">
        <f t="shared" si="58"/>
        <v>1.0498310791355147E-2</v>
      </c>
      <c r="G718" s="1">
        <f t="shared" si="54"/>
        <v>2.4408572589900718E-2</v>
      </c>
      <c r="H718">
        <f t="shared" si="55"/>
        <v>2440.8572589900718</v>
      </c>
      <c r="I718">
        <f t="shared" si="56"/>
        <v>10915.845508951221</v>
      </c>
    </row>
    <row r="719" spans="1:9" x14ac:dyDescent="0.45">
      <c r="A719">
        <v>1.1681095202220604E-3</v>
      </c>
      <c r="B719">
        <f t="shared" si="59"/>
        <v>1.3644798512334121E-6</v>
      </c>
      <c r="E719">
        <f t="shared" si="57"/>
        <v>1.1228923445874584E-4</v>
      </c>
      <c r="F719">
        <f t="shared" si="58"/>
        <v>1.0596661477028783E-2</v>
      </c>
      <c r="G719" s="1">
        <f t="shared" si="54"/>
        <v>2.4637237934091921E-2</v>
      </c>
      <c r="H719">
        <f t="shared" si="55"/>
        <v>2463.7237934091922</v>
      </c>
      <c r="I719">
        <f t="shared" si="56"/>
        <v>11018.107759693205</v>
      </c>
    </row>
    <row r="720" spans="1:9" x14ac:dyDescent="0.45">
      <c r="A720">
        <v>-3.75314357370371E-4</v>
      </c>
      <c r="B720">
        <f t="shared" si="59"/>
        <v>1.4086086684833454E-7</v>
      </c>
      <c r="E720">
        <f t="shared" si="57"/>
        <v>1.0674169355327289E-4</v>
      </c>
      <c r="F720">
        <f t="shared" si="58"/>
        <v>1.0331587174934589E-2</v>
      </c>
      <c r="G720" s="1">
        <f t="shared" si="54"/>
        <v>2.4020940181722922E-2</v>
      </c>
      <c r="H720">
        <f t="shared" si="55"/>
        <v>2402.0940181722922</v>
      </c>
      <c r="I720">
        <f t="shared" si="56"/>
        <v>10742.491025957721</v>
      </c>
    </row>
    <row r="721" spans="1:9" x14ac:dyDescent="0.45">
      <c r="A721">
        <v>3.149898475385271E-3</v>
      </c>
      <c r="B721">
        <f t="shared" si="59"/>
        <v>9.9218604052344546E-6</v>
      </c>
      <c r="E721">
        <f t="shared" si="57"/>
        <v>1.014076665646931E-4</v>
      </c>
      <c r="F721">
        <f t="shared" si="58"/>
        <v>1.007013736573107E-2</v>
      </c>
      <c r="G721" s="1">
        <f t="shared" si="54"/>
        <v>2.3413069375324742E-2</v>
      </c>
      <c r="H721">
        <f t="shared" si="55"/>
        <v>2341.306937532474</v>
      </c>
      <c r="I721">
        <f t="shared" si="56"/>
        <v>10470.642937028932</v>
      </c>
    </row>
    <row r="722" spans="1:9" x14ac:dyDescent="0.45">
      <c r="A722">
        <v>9.8208147392142564E-3</v>
      </c>
      <c r="B722">
        <f t="shared" si="59"/>
        <v>9.6448402141967982E-5</v>
      </c>
      <c r="E722">
        <f t="shared" si="57"/>
        <v>9.6832830997470824E-5</v>
      </c>
      <c r="F722">
        <f t="shared" si="58"/>
        <v>9.8403674218735769E-3</v>
      </c>
      <c r="G722" s="1">
        <f t="shared" si="54"/>
        <v>2.287885425585607E-2</v>
      </c>
      <c r="H722">
        <f t="shared" si="55"/>
        <v>2287.8854255856068</v>
      </c>
      <c r="I722">
        <f t="shared" si="56"/>
        <v>10231.734672680906</v>
      </c>
    </row>
    <row r="723" spans="1:9" x14ac:dyDescent="0.45">
      <c r="A723">
        <v>-4.2756823859235737E-3</v>
      </c>
      <c r="B723">
        <f t="shared" si="59"/>
        <v>1.8281459865297104E-5</v>
      </c>
      <c r="E723">
        <f t="shared" si="57"/>
        <v>9.6807192830728405E-5</v>
      </c>
      <c r="F723">
        <f t="shared" si="58"/>
        <v>9.8390646319011649E-3</v>
      </c>
      <c r="G723" s="1">
        <f t="shared" si="54"/>
        <v>2.2875825269170209E-2</v>
      </c>
      <c r="H723">
        <f t="shared" si="55"/>
        <v>2287.5825269170209</v>
      </c>
      <c r="I723">
        <f t="shared" si="56"/>
        <v>10230.380068654404</v>
      </c>
    </row>
    <row r="724" spans="1:9" x14ac:dyDescent="0.45">
      <c r="A724">
        <v>1.0562780516920611E-2</v>
      </c>
      <c r="B724">
        <f t="shared" si="59"/>
        <v>1.1157233224863765E-4</v>
      </c>
      <c r="E724">
        <f t="shared" si="57"/>
        <v>9.288084995027095E-5</v>
      </c>
      <c r="F724">
        <f t="shared" si="58"/>
        <v>9.6374711387516455E-3</v>
      </c>
      <c r="G724" s="1">
        <f t="shared" si="54"/>
        <v>2.2407120397597579E-2</v>
      </c>
      <c r="H724">
        <f t="shared" si="55"/>
        <v>2240.7120397597578</v>
      </c>
      <c r="I724">
        <f t="shared" si="56"/>
        <v>10020.76887781006</v>
      </c>
    </row>
    <row r="725" spans="1:9" x14ac:dyDescent="0.45">
      <c r="A725">
        <v>-4.909338713332545E-4</v>
      </c>
      <c r="B725">
        <f t="shared" si="59"/>
        <v>2.4101606602225647E-7</v>
      </c>
      <c r="E725">
        <f t="shared" si="57"/>
        <v>9.3814982905864142E-5</v>
      </c>
      <c r="F725">
        <f t="shared" si="58"/>
        <v>9.6858134870471332E-3</v>
      </c>
      <c r="G725" s="1">
        <f t="shared" si="54"/>
        <v>2.2519516357384587E-2</v>
      </c>
      <c r="H725">
        <f t="shared" si="55"/>
        <v>2251.9516357384587</v>
      </c>
      <c r="I725">
        <f t="shared" si="56"/>
        <v>10071.033879106077</v>
      </c>
    </row>
    <row r="726" spans="1:9" x14ac:dyDescent="0.45">
      <c r="A726">
        <v>1.1370889296813402E-2</v>
      </c>
      <c r="B726">
        <f t="shared" si="59"/>
        <v>1.2929712340038559E-4</v>
      </c>
      <c r="E726">
        <f t="shared" si="57"/>
        <v>8.9135687087464309E-5</v>
      </c>
      <c r="F726">
        <f t="shared" si="58"/>
        <v>9.4411697944409567E-3</v>
      </c>
      <c r="G726" s="1">
        <f t="shared" si="54"/>
        <v>2.1950719772075227E-2</v>
      </c>
      <c r="H726">
        <f t="shared" si="55"/>
        <v>2195.0719772075227</v>
      </c>
      <c r="I726">
        <f t="shared" si="56"/>
        <v>9816.6603130817803</v>
      </c>
    </row>
    <row r="727" spans="1:9" x14ac:dyDescent="0.45">
      <c r="A727">
        <v>1.3150838640285656E-2</v>
      </c>
      <c r="B727">
        <f t="shared" si="59"/>
        <v>1.7294455694283028E-4</v>
      </c>
      <c r="E727">
        <f t="shared" si="57"/>
        <v>9.1140929150904733E-5</v>
      </c>
      <c r="F727">
        <f t="shared" si="58"/>
        <v>9.5467758510873572E-3</v>
      </c>
      <c r="G727" s="1">
        <f t="shared" si="54"/>
        <v>2.2196253853778106E-2</v>
      </c>
      <c r="H727">
        <f t="shared" si="55"/>
        <v>2219.6253853778107</v>
      </c>
      <c r="I727">
        <f t="shared" si="56"/>
        <v>9926.4664925779052</v>
      </c>
    </row>
    <row r="728" spans="1:9" x14ac:dyDescent="0.45">
      <c r="A728">
        <v>3.2392563298344612E-3</v>
      </c>
      <c r="B728">
        <f t="shared" si="59"/>
        <v>1.0492781570372624E-5</v>
      </c>
      <c r="E728">
        <f t="shared" si="57"/>
        <v>9.5230242431981873E-5</v>
      </c>
      <c r="F728">
        <f t="shared" si="58"/>
        <v>9.758598384603287E-3</v>
      </c>
      <c r="G728" s="1">
        <f t="shared" si="54"/>
        <v>2.2688741244202643E-2</v>
      </c>
      <c r="H728">
        <f t="shared" si="55"/>
        <v>2268.8741244202643</v>
      </c>
      <c r="I728">
        <f t="shared" si="56"/>
        <v>10146.713549188053</v>
      </c>
    </row>
    <row r="729" spans="1:9" x14ac:dyDescent="0.45">
      <c r="A729">
        <v>-1.0295275387761649E-2</v>
      </c>
      <c r="B729">
        <f t="shared" si="59"/>
        <v>1.0599269530985076E-4</v>
      </c>
      <c r="E729">
        <f t="shared" si="57"/>
        <v>9.0993051042130064E-5</v>
      </c>
      <c r="F729">
        <f t="shared" si="58"/>
        <v>9.539027782857647E-3</v>
      </c>
      <c r="G729" s="1">
        <f t="shared" ref="G729:G792" si="60">F729*$H$1</f>
        <v>2.217823959514403E-2</v>
      </c>
      <c r="H729">
        <f t="shared" ref="H729:H792" si="61">G729*$H$2</f>
        <v>2217.8239595144032</v>
      </c>
      <c r="I729">
        <f t="shared" ref="I729:I792" si="62">H729*SQRT($H$3)</f>
        <v>9918.4102712038948</v>
      </c>
    </row>
    <row r="730" spans="1:9" x14ac:dyDescent="0.45">
      <c r="A730">
        <v>1.2883447197964415E-3</v>
      </c>
      <c r="B730">
        <f t="shared" si="59"/>
        <v>1.6598321170273714E-6</v>
      </c>
      <c r="E730">
        <f t="shared" ref="E730:E793" si="63">(1-$E$1)*SUMPRODUCT($D$2:$D$151,B580:B729)</f>
        <v>9.1742283602851371E-5</v>
      </c>
      <c r="F730">
        <f t="shared" ref="F730:F793" si="64">SQRT(E730)</f>
        <v>9.578219229212254E-3</v>
      </c>
      <c r="G730" s="1">
        <f t="shared" si="60"/>
        <v>2.2269359707918494E-2</v>
      </c>
      <c r="H730">
        <f t="shared" si="61"/>
        <v>2226.9359707918493</v>
      </c>
      <c r="I730">
        <f t="shared" si="62"/>
        <v>9959.1604244601222</v>
      </c>
    </row>
    <row r="731" spans="1:9" x14ac:dyDescent="0.45">
      <c r="A731">
        <v>9.010432222567033E-3</v>
      </c>
      <c r="B731">
        <f t="shared" si="59"/>
        <v>8.1187888837474278E-5</v>
      </c>
      <c r="E731">
        <f t="shared" si="63"/>
        <v>8.7238103402029337E-5</v>
      </c>
      <c r="F731">
        <f t="shared" si="64"/>
        <v>9.3401340141364853E-3</v>
      </c>
      <c r="G731" s="1">
        <f t="shared" si="60"/>
        <v>2.1715811582867329E-2</v>
      </c>
      <c r="H731">
        <f t="shared" si="61"/>
        <v>2171.5811582867327</v>
      </c>
      <c r="I731">
        <f t="shared" si="62"/>
        <v>9711.6061771737313</v>
      </c>
    </row>
    <row r="732" spans="1:9" x14ac:dyDescent="0.45">
      <c r="A732">
        <v>1.9929575501009822E-2</v>
      </c>
      <c r="B732">
        <f t="shared" si="59"/>
        <v>3.9718797965045089E-4</v>
      </c>
      <c r="E732">
        <f t="shared" si="63"/>
        <v>8.6935203162144694E-5</v>
      </c>
      <c r="F732">
        <f t="shared" si="64"/>
        <v>9.3239049309902719E-3</v>
      </c>
      <c r="G732" s="1">
        <f t="shared" si="60"/>
        <v>2.1678078964552382E-2</v>
      </c>
      <c r="H732">
        <f t="shared" si="61"/>
        <v>2167.8078964552383</v>
      </c>
      <c r="I732">
        <f t="shared" si="62"/>
        <v>9694.7316372694768</v>
      </c>
    </row>
    <row r="733" spans="1:9" x14ac:dyDescent="0.45">
      <c r="A733">
        <v>-1.3603767001768574E-2</v>
      </c>
      <c r="B733">
        <f t="shared" si="59"/>
        <v>1.8506247663840753E-4</v>
      </c>
      <c r="E733">
        <f t="shared" si="63"/>
        <v>1.0244337474152187E-4</v>
      </c>
      <c r="F733">
        <f t="shared" si="64"/>
        <v>1.0121431457136973E-2</v>
      </c>
      <c r="G733" s="1">
        <f t="shared" si="60"/>
        <v>2.3532328137843464E-2</v>
      </c>
      <c r="H733">
        <f t="shared" si="61"/>
        <v>2353.2328137843465</v>
      </c>
      <c r="I733">
        <f t="shared" si="62"/>
        <v>10523.977077009806</v>
      </c>
    </row>
    <row r="734" spans="1:9" x14ac:dyDescent="0.45">
      <c r="A734">
        <v>-1.2503051038947888E-2</v>
      </c>
      <c r="B734">
        <f t="shared" si="59"/>
        <v>1.5632628528253586E-4</v>
      </c>
      <c r="E734">
        <f t="shared" si="63"/>
        <v>1.0657051514063557E-4</v>
      </c>
      <c r="F734">
        <f t="shared" si="64"/>
        <v>1.0323299624666309E-2</v>
      </c>
      <c r="G734" s="1">
        <f t="shared" si="60"/>
        <v>2.4001671627349171E-2</v>
      </c>
      <c r="H734">
        <f t="shared" si="61"/>
        <v>2400.1671627349169</v>
      </c>
      <c r="I734">
        <f t="shared" si="62"/>
        <v>10733.873866476149</v>
      </c>
    </row>
    <row r="735" spans="1:9" x14ac:dyDescent="0.45">
      <c r="A735">
        <v>-1.1292399904050399E-2</v>
      </c>
      <c r="B735">
        <f t="shared" si="59"/>
        <v>1.2751829559299745E-4</v>
      </c>
      <c r="E735">
        <f t="shared" si="63"/>
        <v>1.0905829114744365E-4</v>
      </c>
      <c r="F735">
        <f t="shared" si="64"/>
        <v>1.0443097775442096E-2</v>
      </c>
      <c r="G735" s="1">
        <f t="shared" si="60"/>
        <v>2.4280202327902876E-2</v>
      </c>
      <c r="H735">
        <f t="shared" si="61"/>
        <v>2428.0202327902875</v>
      </c>
      <c r="I735">
        <f t="shared" si="62"/>
        <v>10858.436582527895</v>
      </c>
    </row>
    <row r="736" spans="1:9" x14ac:dyDescent="0.45">
      <c r="A736">
        <v>1.5436035027960315E-2</v>
      </c>
      <c r="B736">
        <f t="shared" si="59"/>
        <v>2.3827117738441781E-4</v>
      </c>
      <c r="E736">
        <f t="shared" si="63"/>
        <v>1.0997875064865413E-4</v>
      </c>
      <c r="F736">
        <f t="shared" si="64"/>
        <v>1.0487075409696171E-2</v>
      </c>
      <c r="G736" s="1">
        <f t="shared" si="60"/>
        <v>2.43824503275436E-2</v>
      </c>
      <c r="H736">
        <f t="shared" si="61"/>
        <v>2438.2450327543602</v>
      </c>
      <c r="I736">
        <f t="shared" si="62"/>
        <v>10904.163278079903</v>
      </c>
    </row>
    <row r="737" spans="1:9" x14ac:dyDescent="0.45">
      <c r="A737">
        <v>-2.4500695872120559E-2</v>
      </c>
      <c r="B737">
        <f t="shared" si="59"/>
        <v>6.002840982181454E-4</v>
      </c>
      <c r="E737">
        <f t="shared" si="63"/>
        <v>1.1638697197523834E-4</v>
      </c>
      <c r="F737">
        <f t="shared" si="64"/>
        <v>1.0788279379736063E-2</v>
      </c>
      <c r="G737" s="1">
        <f t="shared" si="60"/>
        <v>2.508274955788635E-2</v>
      </c>
      <c r="H737">
        <f t="shared" si="61"/>
        <v>2508.274955788635</v>
      </c>
      <c r="I737">
        <f t="shared" si="62"/>
        <v>11217.346614807335</v>
      </c>
    </row>
    <row r="738" spans="1:9" x14ac:dyDescent="0.45">
      <c r="A738">
        <v>-2.5783720047911629E-3</v>
      </c>
      <c r="B738">
        <f t="shared" si="59"/>
        <v>6.6480021950908004E-6</v>
      </c>
      <c r="E738">
        <f t="shared" si="63"/>
        <v>1.4057933907996305E-4</v>
      </c>
      <c r="F738">
        <f t="shared" si="64"/>
        <v>1.1856615835893607E-2</v>
      </c>
      <c r="G738" s="1">
        <f t="shared" si="60"/>
        <v>2.7566631818452637E-2</v>
      </c>
      <c r="H738">
        <f t="shared" si="61"/>
        <v>2756.6631818452638</v>
      </c>
      <c r="I738">
        <f t="shared" si="62"/>
        <v>12328.172531353748</v>
      </c>
    </row>
    <row r="739" spans="1:9" x14ac:dyDescent="0.45">
      <c r="A739">
        <v>4.6406967157963663E-3</v>
      </c>
      <c r="B739">
        <f t="shared" si="59"/>
        <v>2.153606600800318E-5</v>
      </c>
      <c r="E739">
        <f t="shared" si="63"/>
        <v>1.3388079063407984E-4</v>
      </c>
      <c r="F739">
        <f t="shared" si="64"/>
        <v>1.1570686696738436E-2</v>
      </c>
      <c r="G739" s="1">
        <f t="shared" si="60"/>
        <v>2.6901846569916867E-2</v>
      </c>
      <c r="H739">
        <f t="shared" si="61"/>
        <v>2690.1846569916866</v>
      </c>
      <c r="I739">
        <f t="shared" si="62"/>
        <v>12030.871530120732</v>
      </c>
    </row>
    <row r="740" spans="1:9" x14ac:dyDescent="0.45">
      <c r="A740">
        <v>-6.8991198531875852E-3</v>
      </c>
      <c r="B740">
        <f t="shared" si="59"/>
        <v>4.759785474864709E-5</v>
      </c>
      <c r="E740">
        <f t="shared" si="63"/>
        <v>1.2826326463216011E-4</v>
      </c>
      <c r="F740">
        <f t="shared" si="64"/>
        <v>1.132533728558051E-2</v>
      </c>
      <c r="G740" s="1">
        <f t="shared" si="60"/>
        <v>2.6331409188974687E-2</v>
      </c>
      <c r="H740">
        <f t="shared" si="61"/>
        <v>2633.1409188974685</v>
      </c>
      <c r="I740">
        <f t="shared" si="62"/>
        <v>11775.764177982001</v>
      </c>
    </row>
    <row r="741" spans="1:9" x14ac:dyDescent="0.45">
      <c r="A741">
        <v>3.9368615034618415E-4</v>
      </c>
      <c r="B741">
        <f t="shared" si="59"/>
        <v>1.549887849743983E-7</v>
      </c>
      <c r="E741">
        <f t="shared" si="63"/>
        <v>1.2422921269667346E-4</v>
      </c>
      <c r="F741">
        <f t="shared" si="64"/>
        <v>1.1145815927812259E-2</v>
      </c>
      <c r="G741" s="1">
        <f t="shared" si="60"/>
        <v>2.5914022032163506E-2</v>
      </c>
      <c r="H741">
        <f t="shared" si="61"/>
        <v>2591.4022032163507</v>
      </c>
      <c r="I741">
        <f t="shared" si="62"/>
        <v>11589.10296686897</v>
      </c>
    </row>
    <row r="742" spans="1:9" x14ac:dyDescent="0.45">
      <c r="A742">
        <v>5.7035322242882103E-3</v>
      </c>
      <c r="B742">
        <f t="shared" si="59"/>
        <v>3.2530279833494018E-5</v>
      </c>
      <c r="E742">
        <f t="shared" si="63"/>
        <v>1.1802431215053205E-4</v>
      </c>
      <c r="F742">
        <f t="shared" si="64"/>
        <v>1.0863899490999172E-2</v>
      </c>
      <c r="G742" s="1">
        <f t="shared" si="60"/>
        <v>2.5258566316573076E-2</v>
      </c>
      <c r="H742">
        <f t="shared" si="61"/>
        <v>2525.8566316573078</v>
      </c>
      <c r="I742">
        <f t="shared" si="62"/>
        <v>11295.974259608776</v>
      </c>
    </row>
    <row r="743" spans="1:9" x14ac:dyDescent="0.45">
      <c r="A743">
        <v>9.0058392743230797E-3</v>
      </c>
      <c r="B743">
        <f t="shared" si="59"/>
        <v>8.1105141034940051E-5</v>
      </c>
      <c r="E743">
        <f t="shared" si="63"/>
        <v>1.1374940302237075E-4</v>
      </c>
      <c r="F743">
        <f t="shared" si="64"/>
        <v>1.0665336517071121E-2</v>
      </c>
      <c r="G743" s="1">
        <f t="shared" si="60"/>
        <v>2.4796907402190357E-2</v>
      </c>
      <c r="H743">
        <f t="shared" si="61"/>
        <v>2479.6907402190359</v>
      </c>
      <c r="I743">
        <f t="shared" si="62"/>
        <v>11089.514116613072</v>
      </c>
    </row>
    <row r="744" spans="1:9" x14ac:dyDescent="0.45">
      <c r="A744">
        <v>5.4195766097109299E-3</v>
      </c>
      <c r="B744">
        <f t="shared" si="59"/>
        <v>2.9371810628525816E-5</v>
      </c>
      <c r="E744">
        <f t="shared" si="63"/>
        <v>1.121104416584436E-4</v>
      </c>
      <c r="F744">
        <f t="shared" si="64"/>
        <v>1.0588221836476775E-2</v>
      </c>
      <c r="G744" s="1">
        <f t="shared" si="60"/>
        <v>2.4617615769808504E-2</v>
      </c>
      <c r="H744">
        <f t="shared" si="61"/>
        <v>2461.7615769808504</v>
      </c>
      <c r="I744">
        <f t="shared" si="62"/>
        <v>11009.332461052527</v>
      </c>
    </row>
    <row r="745" spans="1:9" x14ac:dyDescent="0.45">
      <c r="A745">
        <v>-1.3663839126820676E-2</v>
      </c>
      <c r="B745">
        <f t="shared" si="59"/>
        <v>1.8670049968363563E-4</v>
      </c>
      <c r="E745">
        <f t="shared" si="63"/>
        <v>1.0797346136237421E-4</v>
      </c>
      <c r="F745">
        <f t="shared" si="64"/>
        <v>1.0391027926166602E-2</v>
      </c>
      <c r="G745" s="1">
        <f t="shared" si="60"/>
        <v>2.4159139928337351E-2</v>
      </c>
      <c r="H745">
        <f t="shared" si="61"/>
        <v>2415.9139928337349</v>
      </c>
      <c r="I745">
        <f t="shared" si="62"/>
        <v>10804.295831538342</v>
      </c>
    </row>
    <row r="746" spans="1:9" x14ac:dyDescent="0.45">
      <c r="A746">
        <v>-1.7822458175942302E-3</v>
      </c>
      <c r="B746">
        <f t="shared" si="59"/>
        <v>3.176400154332126E-6</v>
      </c>
      <c r="E746">
        <f t="shared" si="63"/>
        <v>1.1190515122902157E-4</v>
      </c>
      <c r="F746">
        <f t="shared" si="64"/>
        <v>1.0578523111900903E-2</v>
      </c>
      <c r="G746" s="1">
        <f t="shared" si="60"/>
        <v>2.4595066235169601E-2</v>
      </c>
      <c r="H746">
        <f t="shared" si="61"/>
        <v>2459.5066235169602</v>
      </c>
      <c r="I746">
        <f t="shared" si="62"/>
        <v>10999.248002589813</v>
      </c>
    </row>
    <row r="747" spans="1:9" x14ac:dyDescent="0.45">
      <c r="A747">
        <v>1.3408225640887395E-3</v>
      </c>
      <c r="B747">
        <f t="shared" si="59"/>
        <v>1.7978051483695018E-6</v>
      </c>
      <c r="E747">
        <f t="shared" si="63"/>
        <v>1.0646751711344992E-4</v>
      </c>
      <c r="F747">
        <f t="shared" si="64"/>
        <v>1.0318309799257333E-2</v>
      </c>
      <c r="G747" s="1">
        <f t="shared" si="60"/>
        <v>2.3990070283273303E-2</v>
      </c>
      <c r="H747">
        <f t="shared" si="61"/>
        <v>2399.0070283273303</v>
      </c>
      <c r="I747">
        <f t="shared" si="62"/>
        <v>10728.685587679349</v>
      </c>
    </row>
    <row r="748" spans="1:9" x14ac:dyDescent="0.45">
      <c r="A748">
        <v>-2.284457423229469E-3</v>
      </c>
      <c r="B748">
        <f t="shared" si="59"/>
        <v>5.2187457185482249E-6</v>
      </c>
      <c r="E748">
        <f t="shared" si="63"/>
        <v>1.0123036301664843E-4</v>
      </c>
      <c r="F748">
        <f t="shared" si="64"/>
        <v>1.0061330081885219E-2</v>
      </c>
      <c r="G748" s="1">
        <f t="shared" si="60"/>
        <v>2.3392592440383136E-2</v>
      </c>
      <c r="H748">
        <f t="shared" si="61"/>
        <v>2339.2592440383137</v>
      </c>
      <c r="I748">
        <f t="shared" si="62"/>
        <v>10461.485373328878</v>
      </c>
    </row>
    <row r="749" spans="1:9" x14ac:dyDescent="0.45">
      <c r="A749">
        <v>2.083891104120994E-3</v>
      </c>
      <c r="B749">
        <f t="shared" si="59"/>
        <v>4.3426021338346152E-6</v>
      </c>
      <c r="E749">
        <f t="shared" si="63"/>
        <v>9.6429620130345005E-5</v>
      </c>
      <c r="F749">
        <f t="shared" si="64"/>
        <v>9.8198584577551314E-3</v>
      </c>
      <c r="G749" s="1">
        <f t="shared" si="60"/>
        <v>2.2831170914280684E-2</v>
      </c>
      <c r="H749">
        <f t="shared" si="61"/>
        <v>2283.1170914280683</v>
      </c>
      <c r="I749">
        <f t="shared" si="62"/>
        <v>10210.410034049526</v>
      </c>
    </row>
    <row r="750" spans="1:9" x14ac:dyDescent="0.45">
      <c r="A750">
        <v>-1.5849400369916111E-2</v>
      </c>
      <c r="B750">
        <f t="shared" si="59"/>
        <v>2.5120349208589696E-4</v>
      </c>
      <c r="E750">
        <f t="shared" si="63"/>
        <v>9.1825216166691314E-5</v>
      </c>
      <c r="F750">
        <f t="shared" si="64"/>
        <v>9.5825474779252361E-3</v>
      </c>
      <c r="G750" s="1">
        <f t="shared" si="60"/>
        <v>2.2279422886176174E-2</v>
      </c>
      <c r="H750">
        <f t="shared" si="61"/>
        <v>2227.9422886176176</v>
      </c>
      <c r="I750">
        <f t="shared" si="62"/>
        <v>9963.6608145908976</v>
      </c>
    </row>
    <row r="751" spans="1:9" x14ac:dyDescent="0.45">
      <c r="A751">
        <v>5.1636561693158001E-5</v>
      </c>
      <c r="B751">
        <f t="shared" si="59"/>
        <v>2.6663345034913123E-9</v>
      </c>
      <c r="E751">
        <f t="shared" si="63"/>
        <v>9.9792923515677149E-5</v>
      </c>
      <c r="F751">
        <f t="shared" si="64"/>
        <v>9.9896408101431324E-3</v>
      </c>
      <c r="G751" s="1">
        <f t="shared" si="60"/>
        <v>2.3225914883582784E-2</v>
      </c>
      <c r="H751">
        <f t="shared" si="61"/>
        <v>2322.5914883582782</v>
      </c>
      <c r="I751">
        <f t="shared" si="62"/>
        <v>10386.944903863043</v>
      </c>
    </row>
    <row r="752" spans="1:9" x14ac:dyDescent="0.45">
      <c r="A752">
        <v>6.8787358031840995E-4</v>
      </c>
      <c r="B752">
        <f t="shared" si="59"/>
        <v>4.7317006250006798E-7</v>
      </c>
      <c r="E752">
        <f t="shared" si="63"/>
        <v>9.4802791150704483E-5</v>
      </c>
      <c r="F752">
        <f t="shared" si="64"/>
        <v>9.7366724886228193E-3</v>
      </c>
      <c r="G752" s="1">
        <f t="shared" si="60"/>
        <v>2.2637763536048058E-2</v>
      </c>
      <c r="H752">
        <f t="shared" si="61"/>
        <v>2263.776353604806</v>
      </c>
      <c r="I752">
        <f t="shared" si="62"/>
        <v>10123.915625033895</v>
      </c>
    </row>
    <row r="753" spans="1:9" x14ac:dyDescent="0.45">
      <c r="A753">
        <v>1.9141225493513048E-2</v>
      </c>
      <c r="B753">
        <f t="shared" si="59"/>
        <v>3.663865133935138E-4</v>
      </c>
      <c r="E753">
        <f t="shared" si="63"/>
        <v>9.0086270964522078E-5</v>
      </c>
      <c r="F753">
        <f t="shared" si="64"/>
        <v>9.4913787704696568E-3</v>
      </c>
      <c r="G753" s="1">
        <f t="shared" si="60"/>
        <v>2.2067455641341955E-2</v>
      </c>
      <c r="H753">
        <f t="shared" si="61"/>
        <v>2206.7455641341953</v>
      </c>
      <c r="I753">
        <f t="shared" si="62"/>
        <v>9868.8661809003661</v>
      </c>
    </row>
    <row r="754" spans="1:9" x14ac:dyDescent="0.45">
      <c r="A754">
        <v>6.8942654252168722E-3</v>
      </c>
      <c r="B754">
        <f t="shared" si="59"/>
        <v>4.7530895753340779E-5</v>
      </c>
      <c r="E754">
        <f t="shared" si="63"/>
        <v>1.0389963704982679E-4</v>
      </c>
      <c r="F754">
        <f t="shared" si="64"/>
        <v>1.0193117140984243E-2</v>
      </c>
      <c r="G754" s="1">
        <f t="shared" si="60"/>
        <v>2.3698997352788367E-2</v>
      </c>
      <c r="H754">
        <f t="shared" si="61"/>
        <v>2369.8997352788369</v>
      </c>
      <c r="I754">
        <f t="shared" si="62"/>
        <v>10598.513815884473</v>
      </c>
    </row>
    <row r="755" spans="1:9" x14ac:dyDescent="0.45">
      <c r="A755">
        <v>4.7484718379564583E-4</v>
      </c>
      <c r="B755">
        <f t="shared" si="59"/>
        <v>2.2547984795865585E-7</v>
      </c>
      <c r="E755">
        <f t="shared" si="63"/>
        <v>1.0108115423193112E-4</v>
      </c>
      <c r="F755">
        <f t="shared" si="64"/>
        <v>1.0053912384337308E-2</v>
      </c>
      <c r="G755" s="1">
        <f t="shared" si="60"/>
        <v>2.3375346293584245E-2</v>
      </c>
      <c r="H755">
        <f t="shared" si="61"/>
        <v>2337.5346293584244</v>
      </c>
      <c r="I755">
        <f t="shared" si="62"/>
        <v>10453.772662010426</v>
      </c>
    </row>
    <row r="756" spans="1:9" x14ac:dyDescent="0.45">
      <c r="A756">
        <v>-2.6959605747833848E-2</v>
      </c>
      <c r="B756">
        <f t="shared" si="59"/>
        <v>7.268203420786358E-4</v>
      </c>
      <c r="E756">
        <f t="shared" si="63"/>
        <v>9.6038096777008978E-5</v>
      </c>
      <c r="F756">
        <f t="shared" si="64"/>
        <v>9.7999028963050936E-3</v>
      </c>
      <c r="G756" s="1">
        <f t="shared" si="60"/>
        <v>2.2784774233909344E-2</v>
      </c>
      <c r="H756">
        <f t="shared" si="61"/>
        <v>2278.4774233909343</v>
      </c>
      <c r="I756">
        <f t="shared" si="62"/>
        <v>10189.660807801398</v>
      </c>
    </row>
    <row r="757" spans="1:9" x14ac:dyDescent="0.45">
      <c r="A757">
        <v>-3.0664068617625162E-3</v>
      </c>
      <c r="B757">
        <f t="shared" si="59"/>
        <v>9.4028510418642429E-6</v>
      </c>
      <c r="E757">
        <f t="shared" si="63"/>
        <v>1.2757680940815442E-4</v>
      </c>
      <c r="F757">
        <f t="shared" si="64"/>
        <v>1.1294990456310905E-2</v>
      </c>
      <c r="G757" s="1">
        <f t="shared" si="60"/>
        <v>2.6260852810922858E-2</v>
      </c>
      <c r="H757">
        <f t="shared" si="61"/>
        <v>2626.0852810922856</v>
      </c>
      <c r="I757">
        <f t="shared" si="62"/>
        <v>11744.210406467988</v>
      </c>
    </row>
    <row r="758" spans="1:9" x14ac:dyDescent="0.45">
      <c r="A758">
        <v>7.6261585491010919E-3</v>
      </c>
      <c r="B758">
        <f t="shared" si="59"/>
        <v>5.8158294216027675E-5</v>
      </c>
      <c r="E758">
        <f t="shared" si="63"/>
        <v>1.216587418937247E-4</v>
      </c>
      <c r="F758">
        <f t="shared" si="64"/>
        <v>1.1029902170632553E-2</v>
      </c>
      <c r="G758" s="1">
        <f t="shared" si="60"/>
        <v>2.5644522546720686E-2</v>
      </c>
      <c r="H758">
        <f t="shared" si="61"/>
        <v>2564.4522546720686</v>
      </c>
      <c r="I758">
        <f t="shared" si="62"/>
        <v>11468.579132998697</v>
      </c>
    </row>
    <row r="759" spans="1:9" x14ac:dyDescent="0.45">
      <c r="A759">
        <v>-9.5269570010714233E-4</v>
      </c>
      <c r="B759">
        <f t="shared" si="59"/>
        <v>9.0762909700263807E-7</v>
      </c>
      <c r="E759">
        <f t="shared" si="63"/>
        <v>1.1848247831287659E-4</v>
      </c>
      <c r="F759">
        <f t="shared" si="64"/>
        <v>1.0884965701042727E-2</v>
      </c>
      <c r="G759" s="1">
        <f t="shared" si="60"/>
        <v>2.5307545254924343E-2</v>
      </c>
      <c r="H759">
        <f t="shared" si="61"/>
        <v>2530.7545254924344</v>
      </c>
      <c r="I759">
        <f t="shared" si="62"/>
        <v>11317.878306732617</v>
      </c>
    </row>
    <row r="760" spans="1:9" x14ac:dyDescent="0.45">
      <c r="A760">
        <v>1.3452836356009357E-2</v>
      </c>
      <c r="B760">
        <f t="shared" si="59"/>
        <v>1.809788060215671E-4</v>
      </c>
      <c r="E760">
        <f t="shared" si="63"/>
        <v>1.1260367675658478E-4</v>
      </c>
      <c r="F760">
        <f t="shared" si="64"/>
        <v>1.0611487961477635E-2</v>
      </c>
      <c r="G760" s="1">
        <f t="shared" si="60"/>
        <v>2.4671709510435503E-2</v>
      </c>
      <c r="H760">
        <f t="shared" si="61"/>
        <v>2467.1709510435503</v>
      </c>
      <c r="I760">
        <f t="shared" si="62"/>
        <v>11033.523917292368</v>
      </c>
    </row>
    <row r="761" spans="1:9" x14ac:dyDescent="0.45">
      <c r="A761">
        <v>-1.0544090400799178E-2</v>
      </c>
      <c r="B761">
        <f t="shared" si="59"/>
        <v>1.1117784238022536E-4</v>
      </c>
      <c r="E761">
        <f t="shared" si="63"/>
        <v>1.1601160557065776E-4</v>
      </c>
      <c r="F761">
        <f t="shared" si="64"/>
        <v>1.0770868375885844E-2</v>
      </c>
      <c r="G761" s="1">
        <f t="shared" si="60"/>
        <v>2.5042268973934589E-2</v>
      </c>
      <c r="H761">
        <f t="shared" si="61"/>
        <v>2504.2268973934588</v>
      </c>
      <c r="I761">
        <f t="shared" si="62"/>
        <v>11199.24314731033</v>
      </c>
    </row>
    <row r="762" spans="1:9" x14ac:dyDescent="0.45">
      <c r="A762">
        <v>1.4264014680520631E-2</v>
      </c>
      <c r="B762">
        <f t="shared" si="59"/>
        <v>2.034621148061081E-4</v>
      </c>
      <c r="E762">
        <f t="shared" si="63"/>
        <v>1.1576954662491263E-4</v>
      </c>
      <c r="F762">
        <f t="shared" si="64"/>
        <v>1.0759625766025165E-2</v>
      </c>
      <c r="G762" s="1">
        <f t="shared" si="60"/>
        <v>2.5016129906008513E-2</v>
      </c>
      <c r="H762">
        <f t="shared" si="61"/>
        <v>2501.6129906008514</v>
      </c>
      <c r="I762">
        <f t="shared" si="62"/>
        <v>11187.553400760093</v>
      </c>
    </row>
    <row r="763" spans="1:9" x14ac:dyDescent="0.45">
      <c r="A763">
        <v>1.8122409528587013E-2</v>
      </c>
      <c r="B763">
        <f t="shared" si="59"/>
        <v>3.2842172712182138E-4</v>
      </c>
      <c r="E763">
        <f t="shared" si="63"/>
        <v>1.2015296063599609E-4</v>
      </c>
      <c r="F763">
        <f t="shared" si="64"/>
        <v>1.096143059258216E-2</v>
      </c>
      <c r="G763" s="1">
        <f t="shared" si="60"/>
        <v>2.5485326127753522E-2</v>
      </c>
      <c r="H763">
        <f t="shared" si="61"/>
        <v>2548.5326127753524</v>
      </c>
      <c r="I763">
        <f t="shared" si="62"/>
        <v>11397.384330081675</v>
      </c>
    </row>
    <row r="764" spans="1:9" x14ac:dyDescent="0.45">
      <c r="A764">
        <v>6.834238774899859E-3</v>
      </c>
      <c r="B764">
        <f t="shared" si="59"/>
        <v>4.6706819632344725E-5</v>
      </c>
      <c r="E764">
        <f t="shared" si="63"/>
        <v>1.3056517923955559E-4</v>
      </c>
      <c r="F764">
        <f t="shared" si="64"/>
        <v>1.1426512120483468E-2</v>
      </c>
      <c r="G764" s="1">
        <f t="shared" si="60"/>
        <v>2.6566640680124067E-2</v>
      </c>
      <c r="H764">
        <f t="shared" si="61"/>
        <v>2656.6640680124069</v>
      </c>
      <c r="I764">
        <f t="shared" si="62"/>
        <v>11880.962898913733</v>
      </c>
    </row>
    <row r="765" spans="1:9" x14ac:dyDescent="0.45">
      <c r="A765">
        <v>-1.6962076188065112E-2</v>
      </c>
      <c r="B765">
        <f t="shared" si="59"/>
        <v>2.8771202860972545E-4</v>
      </c>
      <c r="E765">
        <f t="shared" si="63"/>
        <v>1.2636672777750058E-4</v>
      </c>
      <c r="F765">
        <f t="shared" si="64"/>
        <v>1.1241295644964622E-2</v>
      </c>
      <c r="G765" s="1">
        <f t="shared" si="60"/>
        <v>2.6136012374542748E-2</v>
      </c>
      <c r="H765">
        <f t="shared" si="61"/>
        <v>2613.6012374542747</v>
      </c>
      <c r="I765">
        <f t="shared" si="62"/>
        <v>11688.380066050657</v>
      </c>
    </row>
    <row r="766" spans="1:9" x14ac:dyDescent="0.45">
      <c r="A766">
        <v>3.4929144021589309E-4</v>
      </c>
      <c r="B766">
        <f t="shared" si="59"/>
        <v>1.2200451020809282E-7</v>
      </c>
      <c r="E766">
        <f t="shared" si="63"/>
        <v>1.3443067954669731E-4</v>
      </c>
      <c r="F766">
        <f t="shared" si="64"/>
        <v>1.1594424502608886E-2</v>
      </c>
      <c r="G766" s="1">
        <f t="shared" si="60"/>
        <v>2.6957036968565662E-2</v>
      </c>
      <c r="H766">
        <f t="shared" si="61"/>
        <v>2695.7036968565662</v>
      </c>
      <c r="I766">
        <f t="shared" si="62"/>
        <v>12055.553426737537</v>
      </c>
    </row>
    <row r="767" spans="1:9" x14ac:dyDescent="0.45">
      <c r="A767">
        <v>3.4479739952075761E-3</v>
      </c>
      <c r="B767">
        <f t="shared" si="59"/>
        <v>1.1888524671627695E-5</v>
      </c>
      <c r="E767">
        <f t="shared" si="63"/>
        <v>1.2771365011270022E-4</v>
      </c>
      <c r="F767">
        <f t="shared" si="64"/>
        <v>1.1301046416712934E-2</v>
      </c>
      <c r="G767" s="1">
        <f t="shared" si="60"/>
        <v>2.6274932918857574E-2</v>
      </c>
      <c r="H767">
        <f t="shared" si="61"/>
        <v>2627.4932918857576</v>
      </c>
      <c r="I767">
        <f t="shared" si="62"/>
        <v>11750.507222162501</v>
      </c>
    </row>
    <row r="768" spans="1:9" x14ac:dyDescent="0.45">
      <c r="A768">
        <v>-8.9880813902709633E-5</v>
      </c>
      <c r="B768">
        <f t="shared" si="59"/>
        <v>8.0785607078135213E-9</v>
      </c>
      <c r="E768">
        <f t="shared" si="63"/>
        <v>1.2192194264630749E-4</v>
      </c>
      <c r="F768">
        <f t="shared" si="64"/>
        <v>1.1041826961436567E-2</v>
      </c>
      <c r="G768" s="1">
        <f t="shared" si="60"/>
        <v>2.567224768534002E-2</v>
      </c>
      <c r="H768">
        <f t="shared" si="61"/>
        <v>2567.2247685340021</v>
      </c>
      <c r="I768">
        <f t="shared" si="62"/>
        <v>11480.978191926384</v>
      </c>
    </row>
    <row r="769" spans="1:9" x14ac:dyDescent="0.45">
      <c r="A769">
        <v>-4.831531441595871E-3</v>
      </c>
      <c r="B769">
        <f t="shared" si="59"/>
        <v>2.3343696071129477E-5</v>
      </c>
      <c r="E769">
        <f t="shared" si="63"/>
        <v>1.158227076546801E-4</v>
      </c>
      <c r="F769">
        <f t="shared" si="64"/>
        <v>1.0762095876486145E-2</v>
      </c>
      <c r="G769" s="1">
        <f t="shared" si="60"/>
        <v>2.5021872912830288E-2</v>
      </c>
      <c r="H769">
        <f t="shared" si="61"/>
        <v>2502.1872912830286</v>
      </c>
      <c r="I769">
        <f t="shared" si="62"/>
        <v>11190.121751489838</v>
      </c>
    </row>
    <row r="770" spans="1:9" x14ac:dyDescent="0.45">
      <c r="A770">
        <v>1.4402939996216446E-2</v>
      </c>
      <c r="B770">
        <f t="shared" si="59"/>
        <v>2.074446805346114E-4</v>
      </c>
      <c r="E770">
        <f t="shared" si="63"/>
        <v>1.1119685383810823E-4</v>
      </c>
      <c r="F770">
        <f t="shared" si="64"/>
        <v>1.0544991884212535E-2</v>
      </c>
      <c r="G770" s="1">
        <f t="shared" si="60"/>
        <v>2.4517106130794147E-2</v>
      </c>
      <c r="H770">
        <f t="shared" si="61"/>
        <v>2451.7106130794145</v>
      </c>
      <c r="I770">
        <f t="shared" si="62"/>
        <v>10964.383184006512</v>
      </c>
    </row>
    <row r="771" spans="1:9" x14ac:dyDescent="0.45">
      <c r="A771">
        <v>2.0182596927043051E-3</v>
      </c>
      <c r="B771">
        <f t="shared" ref="B771:B834" si="65">A771^2</f>
        <v>4.0733721871948759E-6</v>
      </c>
      <c r="E771">
        <f t="shared" si="63"/>
        <v>1.160091129347025E-4</v>
      </c>
      <c r="F771">
        <f t="shared" si="64"/>
        <v>1.0770752663333352E-2</v>
      </c>
      <c r="G771" s="1">
        <f t="shared" si="60"/>
        <v>2.5041999942250044E-2</v>
      </c>
      <c r="H771">
        <f t="shared" si="61"/>
        <v>2504.1999942250045</v>
      </c>
      <c r="I771">
        <f t="shared" si="62"/>
        <v>11199.122832683383</v>
      </c>
    </row>
    <row r="772" spans="1:9" x14ac:dyDescent="0.45">
      <c r="A772">
        <v>2.8394651963026263E-3</v>
      </c>
      <c r="B772">
        <f t="shared" si="65"/>
        <v>8.0625626010139124E-6</v>
      </c>
      <c r="E772">
        <f t="shared" si="63"/>
        <v>1.1041000071416853E-4</v>
      </c>
      <c r="F772">
        <f t="shared" si="64"/>
        <v>1.0507616319326117E-2</v>
      </c>
      <c r="G772" s="1">
        <f t="shared" si="60"/>
        <v>2.4430207942433224E-2</v>
      </c>
      <c r="H772">
        <f t="shared" si="61"/>
        <v>2443.0207942433226</v>
      </c>
      <c r="I772">
        <f t="shared" si="62"/>
        <v>10925.521132747193</v>
      </c>
    </row>
    <row r="773" spans="1:9" x14ac:dyDescent="0.45">
      <c r="A773">
        <v>4.0537543100072071E-3</v>
      </c>
      <c r="B773">
        <f t="shared" si="65"/>
        <v>1.6432924005902009E-5</v>
      </c>
      <c r="E773">
        <f t="shared" si="63"/>
        <v>1.0528875409379446E-4</v>
      </c>
      <c r="F773">
        <f t="shared" si="64"/>
        <v>1.0261030849470948E-2</v>
      </c>
      <c r="G773" s="1">
        <f t="shared" si="60"/>
        <v>2.3856896725019956E-2</v>
      </c>
      <c r="H773">
        <f t="shared" si="61"/>
        <v>2385.6896725019956</v>
      </c>
      <c r="I773">
        <f t="shared" si="62"/>
        <v>10669.128561867346</v>
      </c>
    </row>
    <row r="774" spans="1:9" x14ac:dyDescent="0.45">
      <c r="A774">
        <v>-8.1855887401616201E-3</v>
      </c>
      <c r="B774">
        <f t="shared" si="65"/>
        <v>6.7003863023060698E-5</v>
      </c>
      <c r="E774">
        <f t="shared" si="63"/>
        <v>1.0084448711582756E-4</v>
      </c>
      <c r="F774">
        <f t="shared" si="64"/>
        <v>1.0042135585413472E-2</v>
      </c>
      <c r="G774" s="1">
        <f t="shared" si="60"/>
        <v>2.3347965236086322E-2</v>
      </c>
      <c r="H774">
        <f t="shared" si="61"/>
        <v>2334.796523608632</v>
      </c>
      <c r="I774">
        <f t="shared" si="62"/>
        <v>10441.527480838187</v>
      </c>
    </row>
    <row r="775" spans="1:9" x14ac:dyDescent="0.45">
      <c r="A775">
        <v>4.5200522436061874E-3</v>
      </c>
      <c r="B775">
        <f t="shared" si="65"/>
        <v>2.0430872284929328E-5</v>
      </c>
      <c r="E775">
        <f t="shared" si="63"/>
        <v>9.9152257641602675E-5</v>
      </c>
      <c r="F775">
        <f t="shared" si="64"/>
        <v>9.9575226658844551E-3</v>
      </c>
      <c r="G775" s="1">
        <f t="shared" si="60"/>
        <v>2.315124019818136E-2</v>
      </c>
      <c r="H775">
        <f t="shared" si="61"/>
        <v>2315.1240198181358</v>
      </c>
      <c r="I775">
        <f t="shared" si="62"/>
        <v>10353.549369311844</v>
      </c>
    </row>
    <row r="776" spans="1:9" x14ac:dyDescent="0.45">
      <c r="A776">
        <v>1.3110957297612913E-2</v>
      </c>
      <c r="B776">
        <f t="shared" si="65"/>
        <v>1.7189720125982929E-4</v>
      </c>
      <c r="E776">
        <f t="shared" si="63"/>
        <v>9.5216123808311562E-5</v>
      </c>
      <c r="F776">
        <f t="shared" si="64"/>
        <v>9.7578749637567894E-3</v>
      </c>
      <c r="G776" s="1">
        <f t="shared" si="60"/>
        <v>2.2687059290734536E-2</v>
      </c>
      <c r="H776">
        <f t="shared" si="61"/>
        <v>2268.7059290734537</v>
      </c>
      <c r="I776">
        <f t="shared" si="62"/>
        <v>10145.961356730118</v>
      </c>
    </row>
    <row r="777" spans="1:9" x14ac:dyDescent="0.45">
      <c r="A777">
        <v>1.1282281775493175E-2</v>
      </c>
      <c r="B777">
        <f t="shared" si="65"/>
        <v>1.2728988206162542E-4</v>
      </c>
      <c r="E777">
        <f t="shared" si="63"/>
        <v>9.9049426137375962E-5</v>
      </c>
      <c r="F777">
        <f t="shared" si="64"/>
        <v>9.9523578179934805E-3</v>
      </c>
      <c r="G777" s="1">
        <f t="shared" si="60"/>
        <v>2.3139231926834845E-2</v>
      </c>
      <c r="H777">
        <f t="shared" si="61"/>
        <v>2313.9231926834846</v>
      </c>
      <c r="I777">
        <f t="shared" si="62"/>
        <v>10348.179107107231</v>
      </c>
    </row>
    <row r="778" spans="1:9" x14ac:dyDescent="0.45">
      <c r="A778">
        <v>9.2342588686733507E-3</v>
      </c>
      <c r="B778">
        <f t="shared" si="65"/>
        <v>8.5271536853672429E-5</v>
      </c>
      <c r="E778">
        <f t="shared" si="63"/>
        <v>1.0046069786598588E-4</v>
      </c>
      <c r="F778">
        <f t="shared" si="64"/>
        <v>1.0023008423920728E-2</v>
      </c>
      <c r="G778" s="1">
        <f t="shared" si="60"/>
        <v>2.3303494585615696E-2</v>
      </c>
      <c r="H778">
        <f t="shared" si="61"/>
        <v>2330.3494585615695</v>
      </c>
      <c r="I778">
        <f t="shared" si="62"/>
        <v>10421.639601346998</v>
      </c>
    </row>
    <row r="779" spans="1:9" x14ac:dyDescent="0.45">
      <c r="A779">
        <v>-8.9046352513832971E-4</v>
      </c>
      <c r="B779">
        <f t="shared" si="65"/>
        <v>7.929252896017807E-7</v>
      </c>
      <c r="E779">
        <f t="shared" si="63"/>
        <v>9.9700645993810796E-5</v>
      </c>
      <c r="F779">
        <f t="shared" si="64"/>
        <v>9.9850210812902542E-3</v>
      </c>
      <c r="G779" s="1">
        <f t="shared" si="60"/>
        <v>2.3215174013999841E-2</v>
      </c>
      <c r="H779">
        <f t="shared" si="61"/>
        <v>2321.517401399984</v>
      </c>
      <c r="I779">
        <f t="shared" si="62"/>
        <v>10382.141440958059</v>
      </c>
    </row>
    <row r="780" spans="1:9" x14ac:dyDescent="0.45">
      <c r="A780">
        <v>-1.9457047528703697E-3</v>
      </c>
      <c r="B780">
        <f t="shared" si="65"/>
        <v>3.7857669853423464E-6</v>
      </c>
      <c r="E780">
        <f t="shared" si="63"/>
        <v>9.4755235269572145E-5</v>
      </c>
      <c r="F780">
        <f t="shared" si="64"/>
        <v>9.7342300809859714E-3</v>
      </c>
      <c r="G780" s="1">
        <f t="shared" si="60"/>
        <v>2.2632084938292385E-2</v>
      </c>
      <c r="H780">
        <f t="shared" si="61"/>
        <v>2263.2084938292387</v>
      </c>
      <c r="I780">
        <f t="shared" si="62"/>
        <v>10121.376078914183</v>
      </c>
    </row>
    <row r="781" spans="1:9" x14ac:dyDescent="0.45">
      <c r="A781">
        <v>-6.5661424741847441E-3</v>
      </c>
      <c r="B781">
        <f t="shared" si="65"/>
        <v>4.311422699129295E-5</v>
      </c>
      <c r="E781">
        <f t="shared" si="63"/>
        <v>9.0196902240984467E-5</v>
      </c>
      <c r="F781">
        <f t="shared" si="64"/>
        <v>9.4972049699363903E-3</v>
      </c>
      <c r="G781" s="1">
        <f t="shared" si="60"/>
        <v>2.208100155510211E-2</v>
      </c>
      <c r="H781">
        <f t="shared" si="61"/>
        <v>2208.1001555102112</v>
      </c>
      <c r="I781">
        <f t="shared" si="62"/>
        <v>9874.9240976973779</v>
      </c>
    </row>
    <row r="782" spans="1:9" x14ac:dyDescent="0.45">
      <c r="A782">
        <v>-1.7594902601558715E-2</v>
      </c>
      <c r="B782">
        <f t="shared" si="65"/>
        <v>3.0958059755833766E-4</v>
      </c>
      <c r="E782">
        <f t="shared" si="63"/>
        <v>8.784166310474066E-5</v>
      </c>
      <c r="F782">
        <f t="shared" si="64"/>
        <v>9.3723883351438577E-3</v>
      </c>
      <c r="G782" s="1">
        <f t="shared" si="60"/>
        <v>2.1790802879209471E-2</v>
      </c>
      <c r="H782">
        <f t="shared" si="61"/>
        <v>2179.0802879209473</v>
      </c>
      <c r="I782">
        <f t="shared" si="62"/>
        <v>9745.1433044421046</v>
      </c>
    </row>
    <row r="783" spans="1:9" x14ac:dyDescent="0.45">
      <c r="A783">
        <v>-1.1498877938720398E-2</v>
      </c>
      <c r="B783">
        <f t="shared" si="65"/>
        <v>1.3222419384959066E-4</v>
      </c>
      <c r="E783">
        <f t="shared" si="63"/>
        <v>9.8917023348891873E-5</v>
      </c>
      <c r="F783">
        <f t="shared" si="64"/>
        <v>9.9457037633790338E-3</v>
      </c>
      <c r="G783" s="1">
        <f t="shared" si="60"/>
        <v>2.3123761249856257E-2</v>
      </c>
      <c r="H783">
        <f t="shared" si="61"/>
        <v>2312.3761249856257</v>
      </c>
      <c r="I783">
        <f t="shared" si="62"/>
        <v>10341.260410030818</v>
      </c>
    </row>
    <row r="784" spans="1:9" x14ac:dyDescent="0.45">
      <c r="A784">
        <v>-8.065353540587239E-3</v>
      </c>
      <c r="B784">
        <f t="shared" si="65"/>
        <v>6.5049927734663106E-5</v>
      </c>
      <c r="E784">
        <f t="shared" si="63"/>
        <v>1.0058010257254107E-4</v>
      </c>
      <c r="F784">
        <f t="shared" si="64"/>
        <v>1.0028963185321853E-2</v>
      </c>
      <c r="G784" s="1">
        <f t="shared" si="60"/>
        <v>2.331733940587331E-2</v>
      </c>
      <c r="H784">
        <f t="shared" si="61"/>
        <v>2331.7339405873308</v>
      </c>
      <c r="I784">
        <f t="shared" si="62"/>
        <v>10427.831193193455</v>
      </c>
    </row>
    <row r="785" spans="1:9" x14ac:dyDescent="0.45">
      <c r="A785">
        <v>-6.9018142312415875E-4</v>
      </c>
      <c r="B785">
        <f t="shared" si="65"/>
        <v>4.7635039682568905E-7</v>
      </c>
      <c r="E785">
        <f t="shared" si="63"/>
        <v>9.8803592994097493E-5</v>
      </c>
      <c r="F785">
        <f t="shared" si="64"/>
        <v>9.9399996475904116E-3</v>
      </c>
      <c r="G785" s="1">
        <f t="shared" si="60"/>
        <v>2.3110499180647708E-2</v>
      </c>
      <c r="H785">
        <f t="shared" si="61"/>
        <v>2311.0499180647707</v>
      </c>
      <c r="I785">
        <f t="shared" si="62"/>
        <v>10335.329432376293</v>
      </c>
    </row>
    <row r="786" spans="1:9" x14ac:dyDescent="0.45">
      <c r="A786">
        <v>-3.3152173273265362E-2</v>
      </c>
      <c r="B786">
        <f t="shared" si="65"/>
        <v>1.0990665927406102E-3</v>
      </c>
      <c r="E786">
        <f t="shared" si="63"/>
        <v>9.387815844851284E-5</v>
      </c>
      <c r="F786">
        <f t="shared" si="64"/>
        <v>9.6890741791211838E-3</v>
      </c>
      <c r="G786" s="1">
        <f t="shared" si="60"/>
        <v>2.2527097466456755E-2</v>
      </c>
      <c r="H786">
        <f t="shared" si="61"/>
        <v>2252.7097466456753</v>
      </c>
      <c r="I786">
        <f t="shared" si="62"/>
        <v>10074.424254152118</v>
      </c>
    </row>
    <row r="787" spans="1:9" x14ac:dyDescent="0.45">
      <c r="A787">
        <v>-3.3240212360396981E-3</v>
      </c>
      <c r="B787">
        <f t="shared" si="65"/>
        <v>1.1049117177642883E-5</v>
      </c>
      <c r="E787">
        <f t="shared" si="63"/>
        <v>1.4413757985718892E-4</v>
      </c>
      <c r="F787">
        <f t="shared" si="64"/>
        <v>1.2005731125474572E-2</v>
      </c>
      <c r="G787" s="1">
        <f t="shared" si="60"/>
        <v>2.7913324866728383E-2</v>
      </c>
      <c r="H787">
        <f t="shared" si="61"/>
        <v>2791.3324866728385</v>
      </c>
      <c r="I787">
        <f t="shared" si="62"/>
        <v>12483.218376007986</v>
      </c>
    </row>
    <row r="788" spans="1:9" x14ac:dyDescent="0.45">
      <c r="A788">
        <v>-8.3405893747112714E-3</v>
      </c>
      <c r="B788">
        <f t="shared" si="65"/>
        <v>6.9565431117546558E-5</v>
      </c>
      <c r="E788">
        <f t="shared" si="63"/>
        <v>1.3748271994281508E-4</v>
      </c>
      <c r="F788">
        <f t="shared" si="64"/>
        <v>1.172530255229327E-2</v>
      </c>
      <c r="G788" s="1">
        <f t="shared" si="60"/>
        <v>2.7261328434081855E-2</v>
      </c>
      <c r="H788">
        <f t="shared" si="61"/>
        <v>2726.1328434081856</v>
      </c>
      <c r="I788">
        <f t="shared" si="62"/>
        <v>12191.636707110985</v>
      </c>
    </row>
    <row r="789" spans="1:9" x14ac:dyDescent="0.45">
      <c r="A789">
        <v>2.1288724383339286E-2</v>
      </c>
      <c r="B789">
        <f t="shared" si="65"/>
        <v>4.5320978586978466E-4</v>
      </c>
      <c r="E789">
        <f t="shared" si="63"/>
        <v>1.3408684826362314E-4</v>
      </c>
      <c r="F789">
        <f t="shared" si="64"/>
        <v>1.1579587568804993E-2</v>
      </c>
      <c r="G789" s="1">
        <f t="shared" si="60"/>
        <v>2.6922541097471612E-2</v>
      </c>
      <c r="H789">
        <f t="shared" si="61"/>
        <v>2692.2541097471612</v>
      </c>
      <c r="I789">
        <f t="shared" si="62"/>
        <v>12040.126404195664</v>
      </c>
    </row>
    <row r="790" spans="1:9" x14ac:dyDescent="0.45">
      <c r="A790">
        <v>-2.4276232579723001E-2</v>
      </c>
      <c r="B790">
        <f t="shared" si="65"/>
        <v>5.8933546826480439E-4</v>
      </c>
      <c r="E790">
        <f t="shared" si="63"/>
        <v>1.5004264638718276E-4</v>
      </c>
      <c r="F790">
        <f t="shared" si="64"/>
        <v>1.2249189621651824E-2</v>
      </c>
      <c r="G790" s="1">
        <f t="shared" si="60"/>
        <v>2.8479365870340494E-2</v>
      </c>
      <c r="H790">
        <f t="shared" si="61"/>
        <v>2847.9365870340494</v>
      </c>
      <c r="I790">
        <f t="shared" si="62"/>
        <v>12736.359608433762</v>
      </c>
    </row>
    <row r="791" spans="1:9" x14ac:dyDescent="0.45">
      <c r="A791">
        <v>5.9245621741865762E-3</v>
      </c>
      <c r="B791">
        <f t="shared" si="65"/>
        <v>3.5100436955802371E-5</v>
      </c>
      <c r="E791">
        <f t="shared" si="63"/>
        <v>1.7200628167311896E-4</v>
      </c>
      <c r="F791">
        <f t="shared" si="64"/>
        <v>1.3115116532959933E-2</v>
      </c>
      <c r="G791" s="1">
        <f t="shared" si="60"/>
        <v>3.0492645939131847E-2</v>
      </c>
      <c r="H791">
        <f t="shared" si="61"/>
        <v>3049.2645939131849</v>
      </c>
      <c r="I791">
        <f t="shared" si="62"/>
        <v>13636.725826746346</v>
      </c>
    </row>
    <row r="792" spans="1:9" x14ac:dyDescent="0.45">
      <c r="A792">
        <v>-1.8138234736397862E-2</v>
      </c>
      <c r="B792">
        <f t="shared" si="65"/>
        <v>3.2899555935267003E-4</v>
      </c>
      <c r="E792">
        <f t="shared" si="63"/>
        <v>1.6515930083749072E-4</v>
      </c>
      <c r="F792">
        <f t="shared" si="64"/>
        <v>1.2851431859426821E-2</v>
      </c>
      <c r="G792" s="1">
        <f t="shared" si="60"/>
        <v>2.9879579073167361E-2</v>
      </c>
      <c r="H792">
        <f t="shared" si="61"/>
        <v>2987.9579073167361</v>
      </c>
      <c r="I792">
        <f t="shared" si="62"/>
        <v>13362.553989336477</v>
      </c>
    </row>
    <row r="793" spans="1:9" x14ac:dyDescent="0.45">
      <c r="A793">
        <v>6.857453627162613E-3</v>
      </c>
      <c r="B793">
        <f t="shared" si="65"/>
        <v>4.7024670248685677E-5</v>
      </c>
      <c r="E793">
        <f t="shared" si="63"/>
        <v>1.7335094776730969E-4</v>
      </c>
      <c r="F793">
        <f t="shared" si="64"/>
        <v>1.3166280711245287E-2</v>
      </c>
      <c r="G793" s="1">
        <f t="shared" ref="G793:G856" si="66">F793*$H$1</f>
        <v>3.0611602653645296E-2</v>
      </c>
      <c r="H793">
        <f t="shared" ref="H793:H856" si="67">G793*$H$2</f>
        <v>3061.1602653645296</v>
      </c>
      <c r="I793">
        <f t="shared" ref="I793:I856" si="68">H793*SQRT($H$3)</f>
        <v>13689.924886752768</v>
      </c>
    </row>
    <row r="794" spans="1:9" x14ac:dyDescent="0.45">
      <c r="A794">
        <v>-1.6420062820543535E-2</v>
      </c>
      <c r="B794">
        <f t="shared" si="65"/>
        <v>2.6961846303059613E-4</v>
      </c>
      <c r="E794">
        <f t="shared" ref="E794:E857" si="69">(1-$E$1)*SUMPRODUCT($D$2:$D$151,B644:B793)</f>
        <v>1.6703348137575311E-4</v>
      </c>
      <c r="F794">
        <f t="shared" ref="F794:F857" si="70">SQRT(E794)</f>
        <v>1.2924143351717866E-2</v>
      </c>
      <c r="G794" s="1">
        <f t="shared" si="66"/>
        <v>3.0048633292744039E-2</v>
      </c>
      <c r="H794">
        <f t="shared" si="67"/>
        <v>3004.8633292744039</v>
      </c>
      <c r="I794">
        <f t="shared" si="68"/>
        <v>13438.157334707803</v>
      </c>
    </row>
    <row r="795" spans="1:9" x14ac:dyDescent="0.45">
      <c r="A795">
        <v>-1.5484056348213926E-2</v>
      </c>
      <c r="B795">
        <f t="shared" si="65"/>
        <v>2.3975600099466397E-4</v>
      </c>
      <c r="E795">
        <f t="shared" si="69"/>
        <v>1.7216227857699446E-4</v>
      </c>
      <c r="F795">
        <f t="shared" si="70"/>
        <v>1.3121062402755139E-2</v>
      </c>
      <c r="G795" s="1">
        <f t="shared" si="66"/>
        <v>3.0506470086405703E-2</v>
      </c>
      <c r="H795">
        <f t="shared" si="67"/>
        <v>3050.6470086405702</v>
      </c>
      <c r="I795">
        <f t="shared" si="68"/>
        <v>13642.908173353408</v>
      </c>
    </row>
    <row r="796" spans="1:9" x14ac:dyDescent="0.45">
      <c r="A796">
        <v>-1.6527019397472031E-2</v>
      </c>
      <c r="B796">
        <f t="shared" si="65"/>
        <v>2.7314237016441679E-4</v>
      </c>
      <c r="E796">
        <f t="shared" si="69"/>
        <v>1.7553774221594427E-4</v>
      </c>
      <c r="F796">
        <f t="shared" si="70"/>
        <v>1.3249065711058432E-2</v>
      </c>
      <c r="G796" s="1">
        <f t="shared" si="66"/>
        <v>3.0804077778210856E-2</v>
      </c>
      <c r="H796">
        <f t="shared" si="67"/>
        <v>3080.4077778210858</v>
      </c>
      <c r="I796">
        <f t="shared" si="68"/>
        <v>13776.002379254034</v>
      </c>
    </row>
    <row r="797" spans="1:9" x14ac:dyDescent="0.45">
      <c r="A797">
        <v>-3.6426627048058435E-3</v>
      </c>
      <c r="B797">
        <f t="shared" si="65"/>
        <v>1.3268991580983424E-5</v>
      </c>
      <c r="E797">
        <f t="shared" si="69"/>
        <v>1.8041757541207659E-4</v>
      </c>
      <c r="F797">
        <f t="shared" si="70"/>
        <v>1.3431960966741848E-2</v>
      </c>
      <c r="G797" s="1">
        <f t="shared" si="66"/>
        <v>3.1229309247674798E-2</v>
      </c>
      <c r="H797">
        <f t="shared" si="67"/>
        <v>3122.9309247674796</v>
      </c>
      <c r="I797">
        <f t="shared" si="68"/>
        <v>13966.171673632733</v>
      </c>
    </row>
    <row r="798" spans="1:9" x14ac:dyDescent="0.45">
      <c r="A798">
        <v>-1.2278883332328405E-2</v>
      </c>
      <c r="B798">
        <f t="shared" si="65"/>
        <v>1.5077097588893232E-4</v>
      </c>
      <c r="E798">
        <f t="shared" si="69"/>
        <v>1.720596785777433E-4</v>
      </c>
      <c r="F798">
        <f t="shared" si="70"/>
        <v>1.3117152075726777E-2</v>
      </c>
      <c r="G798" s="1">
        <f t="shared" si="66"/>
        <v>3.049737857606476E-2</v>
      </c>
      <c r="H798">
        <f t="shared" si="67"/>
        <v>3049.7378576064762</v>
      </c>
      <c r="I798">
        <f t="shared" si="68"/>
        <v>13638.84232632531</v>
      </c>
    </row>
    <row r="799" spans="1:9" x14ac:dyDescent="0.45">
      <c r="A799">
        <v>9.2342588686733507E-3</v>
      </c>
      <c r="B799">
        <f t="shared" si="65"/>
        <v>8.5271536853672429E-5</v>
      </c>
      <c r="E799">
        <f t="shared" si="69"/>
        <v>1.7099303823683425E-4</v>
      </c>
      <c r="F799">
        <f t="shared" si="70"/>
        <v>1.3076430638245066E-2</v>
      </c>
      <c r="G799" s="1">
        <f t="shared" si="66"/>
        <v>3.040270123391978E-2</v>
      </c>
      <c r="H799">
        <f t="shared" si="67"/>
        <v>3040.2701233919779</v>
      </c>
      <c r="I799">
        <f t="shared" si="68"/>
        <v>13596.501331732274</v>
      </c>
    </row>
    <row r="800" spans="1:9" x14ac:dyDescent="0.45">
      <c r="A800">
        <v>-5.9327703638700768E-3</v>
      </c>
      <c r="B800">
        <f t="shared" si="65"/>
        <v>3.5197764190415085E-5</v>
      </c>
      <c r="E800">
        <f t="shared" si="69"/>
        <v>1.6670679853488882E-4</v>
      </c>
      <c r="F800">
        <f t="shared" si="70"/>
        <v>1.2911498694376607E-2</v>
      </c>
      <c r="G800" s="1">
        <f t="shared" si="66"/>
        <v>3.0019234464425615E-2</v>
      </c>
      <c r="H800">
        <f t="shared" si="67"/>
        <v>3001.9234464425613</v>
      </c>
      <c r="I800">
        <f t="shared" si="68"/>
        <v>13425.009778992033</v>
      </c>
    </row>
    <row r="801" spans="1:9" x14ac:dyDescent="0.45">
      <c r="A801">
        <v>-1.0275789463776164E-2</v>
      </c>
      <c r="B801">
        <f t="shared" si="65"/>
        <v>1.0559184910385321E-4</v>
      </c>
      <c r="E801">
        <f t="shared" si="69"/>
        <v>1.6013131747518529E-4</v>
      </c>
      <c r="F801">
        <f t="shared" si="70"/>
        <v>1.2654300355024978E-2</v>
      </c>
      <c r="G801" s="1">
        <f t="shared" si="66"/>
        <v>2.9421248325433077E-2</v>
      </c>
      <c r="H801">
        <f t="shared" si="67"/>
        <v>2942.1248325433075</v>
      </c>
      <c r="I801">
        <f t="shared" si="68"/>
        <v>13157.582247714043</v>
      </c>
    </row>
    <row r="802" spans="1:9" x14ac:dyDescent="0.45">
      <c r="A802">
        <v>-6.1503783399530221E-3</v>
      </c>
      <c r="B802">
        <f t="shared" si="65"/>
        <v>3.7827153724563293E-5</v>
      </c>
      <c r="E802">
        <f t="shared" si="69"/>
        <v>1.5740344352120316E-4</v>
      </c>
      <c r="F802">
        <f t="shared" si="70"/>
        <v>1.2546052906041931E-2</v>
      </c>
      <c r="G802" s="1">
        <f t="shared" si="66"/>
        <v>2.9169573006547492E-2</v>
      </c>
      <c r="H802">
        <f t="shared" si="67"/>
        <v>2916.9573006547494</v>
      </c>
      <c r="I802">
        <f t="shared" si="68"/>
        <v>13045.029623456623</v>
      </c>
    </row>
    <row r="803" spans="1:9" x14ac:dyDescent="0.45">
      <c r="A803">
        <v>8.5801957538933493E-3</v>
      </c>
      <c r="B803">
        <f t="shared" si="65"/>
        <v>7.361975917512946E-5</v>
      </c>
      <c r="E803">
        <f t="shared" si="69"/>
        <v>1.5141778170579232E-4</v>
      </c>
      <c r="F803">
        <f t="shared" si="70"/>
        <v>1.2305193281935571E-2</v>
      </c>
      <c r="G803" s="1">
        <f t="shared" si="66"/>
        <v>2.8609574380500206E-2</v>
      </c>
      <c r="H803">
        <f t="shared" si="67"/>
        <v>2860.9574380500208</v>
      </c>
      <c r="I803">
        <f t="shared" si="68"/>
        <v>12794.590624426981</v>
      </c>
    </row>
    <row r="804" spans="1:9" x14ac:dyDescent="0.45">
      <c r="A804">
        <v>4.7457433538511395E-3</v>
      </c>
      <c r="B804">
        <f t="shared" si="65"/>
        <v>2.2522079980622262E-5</v>
      </c>
      <c r="E804">
        <f t="shared" si="69"/>
        <v>1.475272176632329E-4</v>
      </c>
      <c r="F804">
        <f t="shared" si="70"/>
        <v>1.2146078283266287E-2</v>
      </c>
      <c r="G804" s="1">
        <f t="shared" si="66"/>
        <v>2.8239632008594119E-2</v>
      </c>
      <c r="H804">
        <f t="shared" si="67"/>
        <v>2823.9632008594117</v>
      </c>
      <c r="I804">
        <f t="shared" si="68"/>
        <v>12629.147366159075</v>
      </c>
    </row>
    <row r="805" spans="1:9" x14ac:dyDescent="0.45">
      <c r="A805">
        <v>4.274011189409066E-3</v>
      </c>
      <c r="B805">
        <f t="shared" si="65"/>
        <v>1.8267171647193898E-5</v>
      </c>
      <c r="E805">
        <f t="shared" si="69"/>
        <v>1.4127649366183092E-4</v>
      </c>
      <c r="F805">
        <f t="shared" si="70"/>
        <v>1.188597886847486E-2</v>
      </c>
      <c r="G805" s="1">
        <f t="shared" si="66"/>
        <v>2.7634900869204053E-2</v>
      </c>
      <c r="H805">
        <f t="shared" si="67"/>
        <v>2763.4900869204052</v>
      </c>
      <c r="I805">
        <f t="shared" si="68"/>
        <v>12358.703379001658</v>
      </c>
    </row>
    <row r="806" spans="1:9" x14ac:dyDescent="0.45">
      <c r="A806">
        <v>-9.8369355328031816E-3</v>
      </c>
      <c r="B806">
        <f t="shared" si="65"/>
        <v>9.6765300676525818E-5</v>
      </c>
      <c r="E806">
        <f t="shared" si="69"/>
        <v>1.3512569664099656E-4</v>
      </c>
      <c r="F806">
        <f t="shared" si="70"/>
        <v>1.1624357902309984E-2</v>
      </c>
      <c r="G806" s="1">
        <f t="shared" si="66"/>
        <v>2.7026632122870715E-2</v>
      </c>
      <c r="H806">
        <f t="shared" si="67"/>
        <v>2702.6632122870715</v>
      </c>
      <c r="I806">
        <f t="shared" si="68"/>
        <v>12086.677325923674</v>
      </c>
    </row>
    <row r="807" spans="1:9" x14ac:dyDescent="0.45">
      <c r="A807">
        <v>1.5825298760319129E-2</v>
      </c>
      <c r="B807">
        <f t="shared" si="65"/>
        <v>2.5044008085335813E-4</v>
      </c>
      <c r="E807">
        <f t="shared" si="69"/>
        <v>1.3320696859632996E-4</v>
      </c>
      <c r="F807">
        <f t="shared" si="70"/>
        <v>1.1541532333114609E-2</v>
      </c>
      <c r="G807" s="1">
        <f t="shared" si="66"/>
        <v>2.6834062674491468E-2</v>
      </c>
      <c r="H807">
        <f t="shared" si="67"/>
        <v>2683.406267449147</v>
      </c>
      <c r="I807">
        <f t="shared" si="68"/>
        <v>12000.557650530549</v>
      </c>
    </row>
    <row r="808" spans="1:9" x14ac:dyDescent="0.45">
      <c r="A808">
        <v>-1.1950646694458555E-3</v>
      </c>
      <c r="B808">
        <f t="shared" si="65"/>
        <v>1.4281795641577321E-6</v>
      </c>
      <c r="E808">
        <f t="shared" si="69"/>
        <v>1.3906861751139163E-4</v>
      </c>
      <c r="F808">
        <f t="shared" si="70"/>
        <v>1.1792735794182435E-2</v>
      </c>
      <c r="G808" s="1">
        <f t="shared" si="66"/>
        <v>2.7418110721474164E-2</v>
      </c>
      <c r="H808">
        <f t="shared" si="67"/>
        <v>2741.8110721474163</v>
      </c>
      <c r="I808">
        <f t="shared" si="68"/>
        <v>12261.751877566407</v>
      </c>
    </row>
    <row r="809" spans="1:9" x14ac:dyDescent="0.45">
      <c r="A809">
        <v>1.124044501921162E-2</v>
      </c>
      <c r="B809">
        <f t="shared" si="65"/>
        <v>1.2634760422991931E-4</v>
      </c>
      <c r="E809">
        <f t="shared" si="69"/>
        <v>1.3218600057543359E-4</v>
      </c>
      <c r="F809">
        <f t="shared" si="70"/>
        <v>1.1497217079599463E-2</v>
      </c>
      <c r="G809" s="1">
        <f t="shared" si="66"/>
        <v>2.6731029710068754E-2</v>
      </c>
      <c r="H809">
        <f t="shared" si="67"/>
        <v>2673.1029710068756</v>
      </c>
      <c r="I809">
        <f t="shared" si="68"/>
        <v>11954.479908056048</v>
      </c>
    </row>
    <row r="810" spans="1:9" x14ac:dyDescent="0.45">
      <c r="A810">
        <v>8.1205371316173114E-3</v>
      </c>
      <c r="B810">
        <f t="shared" si="65"/>
        <v>6.5943123305975512E-5</v>
      </c>
      <c r="E810">
        <f t="shared" si="69"/>
        <v>1.3189192125694204E-4</v>
      </c>
      <c r="F810">
        <f t="shared" si="70"/>
        <v>1.1484420806333337E-2</v>
      </c>
      <c r="G810" s="1">
        <f t="shared" si="66"/>
        <v>2.670127837472501E-2</v>
      </c>
      <c r="H810">
        <f t="shared" si="67"/>
        <v>2670.1278374725011</v>
      </c>
      <c r="I810">
        <f t="shared" si="68"/>
        <v>11941.174706406046</v>
      </c>
    </row>
    <row r="811" spans="1:9" x14ac:dyDescent="0.45">
      <c r="A811">
        <v>2.1310916054062545E-2</v>
      </c>
      <c r="B811">
        <f t="shared" si="65"/>
        <v>4.5415514306330071E-4</v>
      </c>
      <c r="E811">
        <f t="shared" si="69"/>
        <v>1.2859057347524807E-4</v>
      </c>
      <c r="F811">
        <f t="shared" si="70"/>
        <v>1.1339778369758734E-2</v>
      </c>
      <c r="G811" s="1">
        <f t="shared" si="66"/>
        <v>2.6364984709689059E-2</v>
      </c>
      <c r="H811">
        <f t="shared" si="67"/>
        <v>2636.4984709689061</v>
      </c>
      <c r="I811">
        <f t="shared" si="68"/>
        <v>11790.779607321459</v>
      </c>
    </row>
    <row r="812" spans="1:9" x14ac:dyDescent="0.45">
      <c r="A812">
        <v>2.5119902602455113E-3</v>
      </c>
      <c r="B812">
        <f t="shared" si="65"/>
        <v>6.3100950675683116E-6</v>
      </c>
      <c r="E812">
        <f t="shared" si="69"/>
        <v>1.4486856283358205E-4</v>
      </c>
      <c r="F812">
        <f t="shared" si="70"/>
        <v>1.2036135710168028E-2</v>
      </c>
      <c r="G812" s="1">
        <f t="shared" si="66"/>
        <v>2.7984015526140667E-2</v>
      </c>
      <c r="H812">
        <f t="shared" si="67"/>
        <v>2798.4015526140665</v>
      </c>
      <c r="I812">
        <f t="shared" si="68"/>
        <v>12514.832199972016</v>
      </c>
    </row>
    <row r="813" spans="1:9" x14ac:dyDescent="0.45">
      <c r="A813">
        <v>-4.8557922127656639E-4</v>
      </c>
      <c r="B813">
        <f t="shared" si="65"/>
        <v>2.3578718013555662E-7</v>
      </c>
      <c r="E813">
        <f t="shared" si="69"/>
        <v>1.3794060901783144E-4</v>
      </c>
      <c r="F813">
        <f t="shared" si="70"/>
        <v>1.1744812004363094E-2</v>
      </c>
      <c r="G813" s="1">
        <f t="shared" si="66"/>
        <v>2.7306687910144196E-2</v>
      </c>
      <c r="H813">
        <f t="shared" si="67"/>
        <v>2730.6687910144196</v>
      </c>
      <c r="I813">
        <f t="shared" si="68"/>
        <v>12211.922081490819</v>
      </c>
    </row>
    <row r="814" spans="1:9" x14ac:dyDescent="0.45">
      <c r="A814">
        <v>-6.9428551796590909E-3</v>
      </c>
      <c r="B814">
        <f t="shared" si="65"/>
        <v>4.8203238045719068E-5</v>
      </c>
      <c r="E814">
        <f t="shared" si="69"/>
        <v>1.3105518117476292E-4</v>
      </c>
      <c r="F814">
        <f t="shared" si="70"/>
        <v>1.1447933489270581E-2</v>
      </c>
      <c r="G814" s="1">
        <f t="shared" si="66"/>
        <v>2.6616445362554104E-2</v>
      </c>
      <c r="H814">
        <f t="shared" si="67"/>
        <v>2661.6445362554105</v>
      </c>
      <c r="I814">
        <f t="shared" si="68"/>
        <v>11903.236230016004</v>
      </c>
    </row>
    <row r="815" spans="1:9" x14ac:dyDescent="0.45">
      <c r="A815">
        <v>-1.2058535503456369E-3</v>
      </c>
      <c r="B815">
        <f t="shared" si="65"/>
        <v>1.4540827848811775E-6</v>
      </c>
      <c r="E815">
        <f t="shared" si="69"/>
        <v>1.269099781327985E-4</v>
      </c>
      <c r="F815">
        <f t="shared" si="70"/>
        <v>1.1265432887057581E-2</v>
      </c>
      <c r="G815" s="1">
        <f t="shared" si="66"/>
        <v>2.6192131462408876E-2</v>
      </c>
      <c r="H815">
        <f t="shared" si="67"/>
        <v>2619.2131462408875</v>
      </c>
      <c r="I815">
        <f t="shared" si="68"/>
        <v>11713.477285111445</v>
      </c>
    </row>
    <row r="816" spans="1:9" x14ac:dyDescent="0.45">
      <c r="A816">
        <v>4.4980424718232825E-3</v>
      </c>
      <c r="B816">
        <f t="shared" si="65"/>
        <v>2.0232386078326107E-5</v>
      </c>
      <c r="E816">
        <f t="shared" si="69"/>
        <v>1.206366790172696E-4</v>
      </c>
      <c r="F816">
        <f t="shared" si="70"/>
        <v>1.0983472994334243E-2</v>
      </c>
      <c r="G816" s="1">
        <f t="shared" si="66"/>
        <v>2.5536574711827117E-2</v>
      </c>
      <c r="H816">
        <f t="shared" si="67"/>
        <v>2553.6574711827116</v>
      </c>
      <c r="I816">
        <f t="shared" si="68"/>
        <v>11420.303393629507</v>
      </c>
    </row>
    <row r="817" spans="1:9" x14ac:dyDescent="0.45">
      <c r="A817">
        <v>1.6635885913274251E-2</v>
      </c>
      <c r="B817">
        <f t="shared" si="65"/>
        <v>2.7675270011947667E-4</v>
      </c>
      <c r="E817">
        <f t="shared" si="69"/>
        <v>1.1561350333922232E-4</v>
      </c>
      <c r="F817">
        <f t="shared" si="70"/>
        <v>1.0752371986646589E-2</v>
      </c>
      <c r="G817" s="1">
        <f t="shared" si="66"/>
        <v>2.4999264868953323E-2</v>
      </c>
      <c r="H817">
        <f t="shared" si="67"/>
        <v>2499.9264868953323</v>
      </c>
      <c r="I817">
        <f t="shared" si="68"/>
        <v>11180.011126900401</v>
      </c>
    </row>
    <row r="818" spans="1:9" x14ac:dyDescent="0.45">
      <c r="A818">
        <v>-4.0687154978513718E-3</v>
      </c>
      <c r="B818">
        <f t="shared" si="65"/>
        <v>1.6554445802455936E-5</v>
      </c>
      <c r="E818">
        <f t="shared" si="69"/>
        <v>1.2366882816544671E-4</v>
      </c>
      <c r="F818">
        <f t="shared" si="70"/>
        <v>1.1120648729523234E-2</v>
      </c>
      <c r="G818" s="1">
        <f t="shared" si="66"/>
        <v>2.585550829614152E-2</v>
      </c>
      <c r="H818">
        <f t="shared" si="67"/>
        <v>2585.550829614152</v>
      </c>
      <c r="I818">
        <f t="shared" si="68"/>
        <v>11562.934828596441</v>
      </c>
    </row>
    <row r="819" spans="1:9" x14ac:dyDescent="0.45">
      <c r="A819">
        <v>9.6841858976404183E-3</v>
      </c>
      <c r="B819">
        <f t="shared" si="65"/>
        <v>9.3783456500057556E-5</v>
      </c>
      <c r="E819">
        <f t="shared" si="69"/>
        <v>1.1831309567837779E-4</v>
      </c>
      <c r="F819">
        <f t="shared" si="70"/>
        <v>1.0877182340954748E-2</v>
      </c>
      <c r="G819" s="1">
        <f t="shared" si="66"/>
        <v>2.528944894271979E-2</v>
      </c>
      <c r="H819">
        <f t="shared" si="67"/>
        <v>2528.9448942719791</v>
      </c>
      <c r="I819">
        <f t="shared" si="68"/>
        <v>11309.785389886329</v>
      </c>
    </row>
    <row r="820" spans="1:9" x14ac:dyDescent="0.45">
      <c r="A820">
        <v>1.0839448805199936E-2</v>
      </c>
      <c r="B820">
        <f t="shared" si="65"/>
        <v>1.1749365040055032E-4</v>
      </c>
      <c r="E820">
        <f t="shared" si="69"/>
        <v>1.1708519472577619E-4</v>
      </c>
      <c r="F820">
        <f t="shared" si="70"/>
        <v>1.0820591237348179E-2</v>
      </c>
      <c r="G820" s="1">
        <f t="shared" si="66"/>
        <v>2.5157874626834519E-2</v>
      </c>
      <c r="H820">
        <f t="shared" si="67"/>
        <v>2515.7874626834518</v>
      </c>
      <c r="I820">
        <f t="shared" si="68"/>
        <v>11250.943567003827</v>
      </c>
    </row>
    <row r="821" spans="1:9" x14ac:dyDescent="0.45">
      <c r="A821">
        <v>-4.9436039262218401E-3</v>
      </c>
      <c r="B821">
        <f t="shared" si="65"/>
        <v>2.4439219779355994E-5</v>
      </c>
      <c r="E821">
        <f t="shared" si="69"/>
        <v>1.1710403008741789E-4</v>
      </c>
      <c r="F821">
        <f t="shared" si="70"/>
        <v>1.0821461550429215E-2</v>
      </c>
      <c r="G821" s="1">
        <f t="shared" si="66"/>
        <v>2.5159898104747929E-2</v>
      </c>
      <c r="H821">
        <f t="shared" si="67"/>
        <v>2515.9898104747931</v>
      </c>
      <c r="I821">
        <f t="shared" si="68"/>
        <v>11251.8484938369</v>
      </c>
    </row>
    <row r="822" spans="1:9" x14ac:dyDescent="0.45">
      <c r="A822">
        <v>6.9769725996593479E-3</v>
      </c>
      <c r="B822">
        <f t="shared" si="65"/>
        <v>4.8678146656397317E-5</v>
      </c>
      <c r="E822">
        <f t="shared" si="69"/>
        <v>1.1246742004584462E-4</v>
      </c>
      <c r="F822">
        <f t="shared" si="70"/>
        <v>1.0605065772820299E-2</v>
      </c>
      <c r="G822" s="1">
        <f t="shared" si="66"/>
        <v>2.4656777921807198E-2</v>
      </c>
      <c r="H822">
        <f t="shared" si="67"/>
        <v>2465.6777921807197</v>
      </c>
      <c r="I822">
        <f t="shared" si="68"/>
        <v>11026.846307855378</v>
      </c>
    </row>
    <row r="823" spans="1:9" x14ac:dyDescent="0.45">
      <c r="A823">
        <v>-3.6255073609936517E-3</v>
      </c>
      <c r="B823">
        <f t="shared" si="65"/>
        <v>1.3144303624619153E-5</v>
      </c>
      <c r="E823">
        <f t="shared" si="69"/>
        <v>1.0927763956507214E-4</v>
      </c>
      <c r="F823">
        <f t="shared" si="70"/>
        <v>1.0453594576272419E-2</v>
      </c>
      <c r="G823" s="1">
        <f t="shared" si="66"/>
        <v>2.4304607389833376E-2</v>
      </c>
      <c r="H823">
        <f t="shared" si="67"/>
        <v>2430.4607389833377</v>
      </c>
      <c r="I823">
        <f t="shared" si="68"/>
        <v>10869.350858022233</v>
      </c>
    </row>
    <row r="824" spans="1:9" x14ac:dyDescent="0.45">
      <c r="A824">
        <v>-7.0033365773269907E-3</v>
      </c>
      <c r="B824">
        <f t="shared" si="65"/>
        <v>4.9046723215326131E-5</v>
      </c>
      <c r="E824">
        <f t="shared" si="69"/>
        <v>1.044709683812197E-4</v>
      </c>
      <c r="F824">
        <f t="shared" si="70"/>
        <v>1.0221104068603338E-2</v>
      </c>
      <c r="G824" s="1">
        <f t="shared" si="66"/>
        <v>2.3764066959502762E-2</v>
      </c>
      <c r="H824">
        <f t="shared" si="67"/>
        <v>2376.4066959502761</v>
      </c>
      <c r="I824">
        <f t="shared" si="68"/>
        <v>10627.613828660984</v>
      </c>
    </row>
    <row r="825" spans="1:9" x14ac:dyDescent="0.45">
      <c r="A825">
        <v>-6.4642335928510875E-5</v>
      </c>
      <c r="B825">
        <f t="shared" si="65"/>
        <v>4.1786315942944479E-9</v>
      </c>
      <c r="E825">
        <f t="shared" si="69"/>
        <v>1.0169806230184477E-4</v>
      </c>
      <c r="F825">
        <f t="shared" si="70"/>
        <v>1.0084545716185968E-2</v>
      </c>
      <c r="G825" s="1">
        <f t="shared" si="66"/>
        <v>2.3446568790132377E-2</v>
      </c>
      <c r="H825">
        <f t="shared" si="67"/>
        <v>2344.6568790132378</v>
      </c>
      <c r="I825">
        <f t="shared" si="68"/>
        <v>10485.6243307722</v>
      </c>
    </row>
    <row r="826" spans="1:9" x14ac:dyDescent="0.45">
      <c r="A826">
        <v>2.9152033675927669E-3</v>
      </c>
      <c r="B826">
        <f t="shared" si="65"/>
        <v>8.4984106744242079E-6</v>
      </c>
      <c r="E826">
        <f t="shared" si="69"/>
        <v>9.6613013145048192E-5</v>
      </c>
      <c r="F826">
        <f t="shared" si="70"/>
        <v>9.8291918866735013E-3</v>
      </c>
      <c r="G826" s="1">
        <f t="shared" si="66"/>
        <v>2.2852871136515893E-2</v>
      </c>
      <c r="H826">
        <f t="shared" si="67"/>
        <v>2285.2871136515892</v>
      </c>
      <c r="I826">
        <f t="shared" si="68"/>
        <v>10220.114668458482</v>
      </c>
    </row>
    <row r="827" spans="1:9" x14ac:dyDescent="0.45">
      <c r="A827">
        <v>-5.0189555622637272E-3</v>
      </c>
      <c r="B827">
        <f t="shared" si="65"/>
        <v>2.5189914935978006E-5</v>
      </c>
      <c r="E827">
        <f t="shared" si="69"/>
        <v>9.2205685266638724E-5</v>
      </c>
      <c r="F827">
        <f t="shared" si="70"/>
        <v>9.6023791461615771E-3</v>
      </c>
      <c r="G827" s="1">
        <f t="shared" si="66"/>
        <v>2.2325531514825667E-2</v>
      </c>
      <c r="H827">
        <f t="shared" si="67"/>
        <v>2232.5531514825666</v>
      </c>
      <c r="I827">
        <f t="shared" si="68"/>
        <v>9984.2812201928082</v>
      </c>
    </row>
    <row r="828" spans="1:9" x14ac:dyDescent="0.45">
      <c r="A828">
        <v>7.382823241641745E-5</v>
      </c>
      <c r="B828">
        <f t="shared" si="65"/>
        <v>5.4506079017325523E-9</v>
      </c>
      <c r="E828">
        <f t="shared" si="69"/>
        <v>8.8851154069555393E-5</v>
      </c>
      <c r="F828">
        <f t="shared" si="70"/>
        <v>9.4260890123929655E-3</v>
      </c>
      <c r="G828" s="1">
        <f t="shared" si="66"/>
        <v>2.1915656953813645E-2</v>
      </c>
      <c r="H828">
        <f t="shared" si="67"/>
        <v>2191.5656953813645</v>
      </c>
      <c r="I828">
        <f t="shared" si="68"/>
        <v>9800.9797440586572</v>
      </c>
    </row>
    <row r="829" spans="1:9" x14ac:dyDescent="0.45">
      <c r="A829">
        <v>-3.4601498555275612E-3</v>
      </c>
      <c r="B829">
        <f t="shared" si="65"/>
        <v>1.1972637022707402E-5</v>
      </c>
      <c r="E829">
        <f t="shared" si="69"/>
        <v>8.4408397748259061E-5</v>
      </c>
      <c r="F829">
        <f t="shared" si="70"/>
        <v>9.1874042987265484E-3</v>
      </c>
      <c r="G829" s="1">
        <f t="shared" si="66"/>
        <v>2.1360714994539228E-2</v>
      </c>
      <c r="H829">
        <f t="shared" si="67"/>
        <v>2136.071499453923</v>
      </c>
      <c r="I829">
        <f t="shared" si="68"/>
        <v>9552.8021551577549</v>
      </c>
    </row>
    <row r="830" spans="1:9" x14ac:dyDescent="0.45">
      <c r="A830">
        <v>-1.147075181506807E-2</v>
      </c>
      <c r="B830">
        <f t="shared" si="65"/>
        <v>1.3157814720288742E-4</v>
      </c>
      <c r="E830">
        <f t="shared" si="69"/>
        <v>8.0785590555033823E-5</v>
      </c>
      <c r="F830">
        <f t="shared" si="70"/>
        <v>8.9880804711035944E-3</v>
      </c>
      <c r="G830" s="1">
        <f t="shared" si="66"/>
        <v>2.089728709531586E-2</v>
      </c>
      <c r="H830">
        <f t="shared" si="67"/>
        <v>2089.728709531586</v>
      </c>
      <c r="I830">
        <f t="shared" si="68"/>
        <v>9345.5508980910781</v>
      </c>
    </row>
    <row r="831" spans="1:9" x14ac:dyDescent="0.45">
      <c r="A831">
        <v>-6.9652742240577936E-3</v>
      </c>
      <c r="B831">
        <f t="shared" si="65"/>
        <v>4.8515045016323899E-5</v>
      </c>
      <c r="E831">
        <f t="shared" si="69"/>
        <v>8.3321547903673668E-5</v>
      </c>
      <c r="F831">
        <f t="shared" si="70"/>
        <v>9.1280637543607063E-3</v>
      </c>
      <c r="G831" s="1">
        <f t="shared" si="66"/>
        <v>2.1222748228888644E-2</v>
      </c>
      <c r="H831">
        <f t="shared" si="67"/>
        <v>2122.2748228888645</v>
      </c>
      <c r="I831">
        <f t="shared" si="68"/>
        <v>9491.1015418316565</v>
      </c>
    </row>
    <row r="832" spans="1:9" x14ac:dyDescent="0.45">
      <c r="A832">
        <v>1.1403085409256164E-2</v>
      </c>
      <c r="B832">
        <f t="shared" si="65"/>
        <v>1.3003035685079081E-4</v>
      </c>
      <c r="E832">
        <f t="shared" si="69"/>
        <v>8.1576976197637204E-5</v>
      </c>
      <c r="F832">
        <f t="shared" si="70"/>
        <v>9.0319973537217775E-3</v>
      </c>
      <c r="G832" s="1">
        <f t="shared" si="66"/>
        <v>2.0999393847403135E-2</v>
      </c>
      <c r="H832">
        <f t="shared" si="67"/>
        <v>2099.9393847403135</v>
      </c>
      <c r="I832">
        <f t="shared" si="68"/>
        <v>9391.2144258168519</v>
      </c>
    </row>
    <row r="833" spans="1:9" x14ac:dyDescent="0.45">
      <c r="A833">
        <v>2.257329470012337E-2</v>
      </c>
      <c r="B833">
        <f t="shared" si="65"/>
        <v>5.095536336186178E-4</v>
      </c>
      <c r="E833">
        <f t="shared" si="69"/>
        <v>8.3996363961317167E-5</v>
      </c>
      <c r="F833">
        <f t="shared" si="70"/>
        <v>9.1649530255925021E-3</v>
      </c>
      <c r="G833" s="1">
        <f t="shared" si="66"/>
        <v>2.1308515784502571E-2</v>
      </c>
      <c r="H833">
        <f t="shared" si="67"/>
        <v>2130.851578450257</v>
      </c>
      <c r="I833">
        <f t="shared" si="68"/>
        <v>9529.4579587550015</v>
      </c>
    </row>
    <row r="834" spans="1:9" x14ac:dyDescent="0.45">
      <c r="A834">
        <v>-5.9245621741865762E-3</v>
      </c>
      <c r="B834">
        <f t="shared" si="65"/>
        <v>3.5100436955802371E-5</v>
      </c>
      <c r="E834">
        <f t="shared" si="69"/>
        <v>1.0527378965625019E-4</v>
      </c>
      <c r="F834">
        <f t="shared" si="70"/>
        <v>1.0260301635734215E-2</v>
      </c>
      <c r="G834" s="1">
        <f t="shared" si="66"/>
        <v>2.3855201303082052E-2</v>
      </c>
      <c r="H834">
        <f t="shared" si="67"/>
        <v>2385.5201303082054</v>
      </c>
      <c r="I834">
        <f t="shared" si="68"/>
        <v>10668.370346126607</v>
      </c>
    </row>
    <row r="835" spans="1:9" x14ac:dyDescent="0.45">
      <c r="A835">
        <v>-1.5181694834609516E-2</v>
      </c>
      <c r="B835">
        <f t="shared" ref="B835:B898" si="71">A835^2</f>
        <v>2.3048385805120926E-4</v>
      </c>
      <c r="E835">
        <f t="shared" si="69"/>
        <v>1.0176509490330234E-4</v>
      </c>
      <c r="F835">
        <f t="shared" si="70"/>
        <v>1.0087868699745369E-2</v>
      </c>
      <c r="G835" s="1">
        <f t="shared" si="66"/>
        <v>2.3454294726907986E-2</v>
      </c>
      <c r="H835">
        <f t="shared" si="67"/>
        <v>2345.4294726907988</v>
      </c>
      <c r="I835">
        <f t="shared" si="68"/>
        <v>10489.079474736225</v>
      </c>
    </row>
    <row r="836" spans="1:9" x14ac:dyDescent="0.45">
      <c r="A836">
        <v>1.7814727470977232E-3</v>
      </c>
      <c r="B836">
        <f t="shared" si="71"/>
        <v>3.1736451486519082E-6</v>
      </c>
      <c r="E836">
        <f t="shared" si="69"/>
        <v>1.0819792323129176E-4</v>
      </c>
      <c r="F836">
        <f t="shared" si="70"/>
        <v>1.0401823072485503E-2</v>
      </c>
      <c r="G836" s="1">
        <f t="shared" si="66"/>
        <v>2.4184238643528796E-2</v>
      </c>
      <c r="H836">
        <f t="shared" si="67"/>
        <v>2418.4238643528797</v>
      </c>
      <c r="I836">
        <f t="shared" si="68"/>
        <v>10815.520318201539</v>
      </c>
    </row>
    <row r="837" spans="1:9" x14ac:dyDescent="0.45">
      <c r="A837">
        <v>-1.2744635569106322E-3</v>
      </c>
      <c r="B837">
        <f t="shared" si="71"/>
        <v>1.6242573578933003E-6</v>
      </c>
      <c r="E837">
        <f t="shared" si="69"/>
        <v>1.0294517112604505E-4</v>
      </c>
      <c r="F837">
        <f t="shared" si="70"/>
        <v>1.0146189980778255E-2</v>
      </c>
      <c r="G837" s="1">
        <f t="shared" si="66"/>
        <v>2.3589891705309445E-2</v>
      </c>
      <c r="H837">
        <f t="shared" si="67"/>
        <v>2358.9891705309446</v>
      </c>
      <c r="I837">
        <f t="shared" si="68"/>
        <v>10549.720286986072</v>
      </c>
    </row>
    <row r="838" spans="1:9" x14ac:dyDescent="0.45">
      <c r="A838">
        <v>-1.2489681466831826E-2</v>
      </c>
      <c r="B838">
        <f t="shared" si="71"/>
        <v>1.5599214314292238E-4</v>
      </c>
      <c r="E838">
        <f t="shared" si="69"/>
        <v>9.7878120207788561E-5</v>
      </c>
      <c r="F838">
        <f t="shared" si="70"/>
        <v>9.893337162342572E-3</v>
      </c>
      <c r="G838" s="1">
        <f t="shared" si="66"/>
        <v>2.3002008902446483E-2</v>
      </c>
      <c r="H838">
        <f t="shared" si="67"/>
        <v>2300.2008902446482</v>
      </c>
      <c r="I838">
        <f t="shared" si="68"/>
        <v>10286.811104985132</v>
      </c>
    </row>
    <row r="839" spans="1:9" x14ac:dyDescent="0.45">
      <c r="A839">
        <v>-5.0302332965657115E-3</v>
      </c>
      <c r="B839">
        <f t="shared" si="71"/>
        <v>2.5303247017878345E-5</v>
      </c>
      <c r="E839">
        <f t="shared" si="69"/>
        <v>1.0078141073592141E-4</v>
      </c>
      <c r="F839">
        <f t="shared" si="70"/>
        <v>1.0038994508212534E-2</v>
      </c>
      <c r="G839" s="1">
        <f t="shared" si="66"/>
        <v>2.3340662231594141E-2</v>
      </c>
      <c r="H839">
        <f t="shared" si="67"/>
        <v>2334.0662231594142</v>
      </c>
      <c r="I839">
        <f t="shared" si="68"/>
        <v>10438.261477941289</v>
      </c>
    </row>
    <row r="840" spans="1:9" x14ac:dyDescent="0.45">
      <c r="A840">
        <v>1.0988060239469633E-3</v>
      </c>
      <c r="B840">
        <f t="shared" si="71"/>
        <v>1.2073746782621344E-6</v>
      </c>
      <c r="E840">
        <f t="shared" si="69"/>
        <v>9.7004340630737235E-5</v>
      </c>
      <c r="F840">
        <f t="shared" si="70"/>
        <v>9.8490781614695919E-3</v>
      </c>
      <c r="G840" s="1">
        <f t="shared" si="66"/>
        <v>2.2899106725416802E-2</v>
      </c>
      <c r="H840">
        <f t="shared" si="67"/>
        <v>2289.91067254168</v>
      </c>
      <c r="I840">
        <f t="shared" si="68"/>
        <v>10240.791852410915</v>
      </c>
    </row>
    <row r="841" spans="1:9" x14ac:dyDescent="0.45">
      <c r="A841">
        <v>6.6384359342919197E-3</v>
      </c>
      <c r="B841">
        <f t="shared" si="71"/>
        <v>4.4068831653698231E-5</v>
      </c>
      <c r="E841">
        <f t="shared" si="69"/>
        <v>9.2214218468105919E-5</v>
      </c>
      <c r="F841">
        <f t="shared" si="70"/>
        <v>9.6028234633417017E-3</v>
      </c>
      <c r="G841" s="1">
        <f t="shared" si="66"/>
        <v>2.2326564552269459E-2</v>
      </c>
      <c r="H841">
        <f t="shared" si="67"/>
        <v>2232.656455226946</v>
      </c>
      <c r="I841">
        <f t="shared" si="68"/>
        <v>9984.7432085823348</v>
      </c>
    </row>
    <row r="842" spans="1:9" x14ac:dyDescent="0.45">
      <c r="A842">
        <v>2.4780547391856089E-3</v>
      </c>
      <c r="B842">
        <f t="shared" si="71"/>
        <v>6.1407552904002561E-6</v>
      </c>
      <c r="E842">
        <f t="shared" si="69"/>
        <v>8.9806806299084344E-5</v>
      </c>
      <c r="F842">
        <f t="shared" si="70"/>
        <v>9.4766453082873337E-3</v>
      </c>
      <c r="G842" s="1">
        <f t="shared" si="66"/>
        <v>2.2033200341768054E-2</v>
      </c>
      <c r="H842">
        <f t="shared" si="67"/>
        <v>2203.3200341768056</v>
      </c>
      <c r="I842">
        <f t="shared" si="68"/>
        <v>9853.5467452129942</v>
      </c>
    </row>
    <row r="843" spans="1:9" x14ac:dyDescent="0.45">
      <c r="A843">
        <v>2.0213860807416495E-3</v>
      </c>
      <c r="B843">
        <f t="shared" si="71"/>
        <v>4.0860016874160865E-6</v>
      </c>
      <c r="E843">
        <f t="shared" si="69"/>
        <v>8.5622457215494646E-5</v>
      </c>
      <c r="F843">
        <f t="shared" si="70"/>
        <v>9.2532403630022839E-3</v>
      </c>
      <c r="G843" s="1">
        <f t="shared" si="66"/>
        <v>2.1513783843980311E-2</v>
      </c>
      <c r="H843">
        <f t="shared" si="67"/>
        <v>2151.3783843980309</v>
      </c>
      <c r="I843">
        <f t="shared" si="68"/>
        <v>9621.2566256753398</v>
      </c>
    </row>
    <row r="844" spans="1:9" x14ac:dyDescent="0.45">
      <c r="A844">
        <v>7.6763853940065019E-3</v>
      </c>
      <c r="B844">
        <f t="shared" si="71"/>
        <v>5.8926892717316355E-5</v>
      </c>
      <c r="E844">
        <f t="shared" si="69"/>
        <v>8.1539346788557106E-5</v>
      </c>
      <c r="F844">
        <f t="shared" si="70"/>
        <v>9.029913996742002E-3</v>
      </c>
      <c r="G844" s="1">
        <f t="shared" si="66"/>
        <v>2.0994550042425158E-2</v>
      </c>
      <c r="H844">
        <f t="shared" si="67"/>
        <v>2099.4550042425158</v>
      </c>
      <c r="I844">
        <f t="shared" si="68"/>
        <v>9389.0482103767499</v>
      </c>
    </row>
    <row r="845" spans="1:9" x14ac:dyDescent="0.45">
      <c r="A845">
        <v>2.2261883714236319E-2</v>
      </c>
      <c r="B845">
        <f t="shared" si="71"/>
        <v>4.9559146650618024E-4</v>
      </c>
      <c r="E845">
        <f t="shared" si="69"/>
        <v>8.0407632880519141E-5</v>
      </c>
      <c r="F845">
        <f t="shared" si="70"/>
        <v>8.9670303267313164E-3</v>
      </c>
      <c r="G845" s="1">
        <f t="shared" si="66"/>
        <v>2.0848345509650312E-2</v>
      </c>
      <c r="H845">
        <f t="shared" si="67"/>
        <v>2084.8345509650312</v>
      </c>
      <c r="I845">
        <f t="shared" si="68"/>
        <v>9323.6635555961202</v>
      </c>
    </row>
    <row r="846" spans="1:9" x14ac:dyDescent="0.45">
      <c r="A846">
        <v>6.1540731621789746E-3</v>
      </c>
      <c r="B846">
        <f t="shared" si="71"/>
        <v>3.7872616485451527E-5</v>
      </c>
      <c r="E846">
        <f t="shared" si="69"/>
        <v>1.0116672303226741E-4</v>
      </c>
      <c r="F846">
        <f t="shared" si="70"/>
        <v>1.0058166981725219E-2</v>
      </c>
      <c r="G846" s="1">
        <f t="shared" si="66"/>
        <v>2.3385238232511135E-2</v>
      </c>
      <c r="H846">
        <f t="shared" si="67"/>
        <v>2338.5238232511133</v>
      </c>
      <c r="I846">
        <f t="shared" si="68"/>
        <v>10458.196471584386</v>
      </c>
    </row>
    <row r="847" spans="1:9" x14ac:dyDescent="0.45">
      <c r="A847">
        <v>1.2659825188165996E-3</v>
      </c>
      <c r="B847">
        <f t="shared" si="71"/>
        <v>1.602711737949222E-6</v>
      </c>
      <c r="E847">
        <f t="shared" si="69"/>
        <v>9.7999619835161301E-5</v>
      </c>
      <c r="F847">
        <f t="shared" si="70"/>
        <v>9.8994757353690864E-3</v>
      </c>
      <c r="G847" s="1">
        <f t="shared" si="66"/>
        <v>2.3016281084733126E-2</v>
      </c>
      <c r="H847">
        <f t="shared" si="67"/>
        <v>2301.6281084733127</v>
      </c>
      <c r="I847">
        <f t="shared" si="68"/>
        <v>10293.193818941174</v>
      </c>
    </row>
    <row r="848" spans="1:9" x14ac:dyDescent="0.45">
      <c r="A848">
        <v>1.8166065274272114E-2</v>
      </c>
      <c r="B848">
        <f t="shared" si="71"/>
        <v>3.3000592754911517E-4</v>
      </c>
      <c r="E848">
        <f t="shared" si="69"/>
        <v>9.3179762033389511E-5</v>
      </c>
      <c r="F848">
        <f t="shared" si="70"/>
        <v>9.6529664887737756E-3</v>
      </c>
      <c r="G848" s="1">
        <f t="shared" si="66"/>
        <v>2.244314708639903E-2</v>
      </c>
      <c r="H848">
        <f t="shared" si="67"/>
        <v>2244.3147086399031</v>
      </c>
      <c r="I848">
        <f t="shared" si="68"/>
        <v>10036.880502842916</v>
      </c>
    </row>
    <row r="849" spans="1:9" x14ac:dyDescent="0.45">
      <c r="A849">
        <v>4.7867843022686429E-4</v>
      </c>
      <c r="B849">
        <f t="shared" si="71"/>
        <v>2.2913303956445497E-7</v>
      </c>
      <c r="E849">
        <f t="shared" si="69"/>
        <v>1.0502094979837407E-4</v>
      </c>
      <c r="F849">
        <f t="shared" si="70"/>
        <v>1.0247972960462672E-2</v>
      </c>
      <c r="G849" s="1">
        <f t="shared" si="66"/>
        <v>2.3826537133075715E-2</v>
      </c>
      <c r="H849">
        <f t="shared" si="67"/>
        <v>2382.6537133075717</v>
      </c>
      <c r="I849">
        <f t="shared" si="68"/>
        <v>10655.551339596052</v>
      </c>
    </row>
    <row r="850" spans="1:9" x14ac:dyDescent="0.45">
      <c r="A850">
        <v>5.3461917559616268E-3</v>
      </c>
      <c r="B850">
        <f t="shared" si="71"/>
        <v>2.8581766291512062E-5</v>
      </c>
      <c r="E850">
        <f t="shared" si="69"/>
        <v>9.9775773825487303E-5</v>
      </c>
      <c r="F850">
        <f t="shared" si="70"/>
        <v>9.9887823995463681E-3</v>
      </c>
      <c r="G850" s="1">
        <f t="shared" si="66"/>
        <v>2.3223919078945308E-2</v>
      </c>
      <c r="H850">
        <f t="shared" si="67"/>
        <v>2322.391907894531</v>
      </c>
      <c r="I850">
        <f t="shared" si="68"/>
        <v>10386.052352895204</v>
      </c>
    </row>
    <row r="851" spans="1:9" x14ac:dyDescent="0.45">
      <c r="A851">
        <v>-2.8434442356228828E-3</v>
      </c>
      <c r="B851">
        <f t="shared" si="71"/>
        <v>8.0851751210970005E-6</v>
      </c>
      <c r="E851">
        <f t="shared" si="69"/>
        <v>9.6216072171684375E-5</v>
      </c>
      <c r="F851">
        <f t="shared" si="70"/>
        <v>9.8089791605286015E-3</v>
      </c>
      <c r="G851" s="1">
        <f t="shared" si="66"/>
        <v>2.2805876548229E-2</v>
      </c>
      <c r="H851">
        <f t="shared" si="67"/>
        <v>2280.5876548228998</v>
      </c>
      <c r="I851">
        <f t="shared" si="68"/>
        <v>10199.098049661661</v>
      </c>
    </row>
    <row r="852" spans="1:9" x14ac:dyDescent="0.45">
      <c r="A852">
        <v>8.2779251897591166E-3</v>
      </c>
      <c r="B852">
        <f t="shared" si="71"/>
        <v>6.8524045447248514E-5</v>
      </c>
      <c r="E852">
        <f t="shared" si="69"/>
        <v>9.1804770904872345E-5</v>
      </c>
      <c r="F852">
        <f t="shared" si="70"/>
        <v>9.5814806217448638E-3</v>
      </c>
      <c r="G852" s="1">
        <f t="shared" si="66"/>
        <v>2.2276942445556811E-2</v>
      </c>
      <c r="H852">
        <f t="shared" si="67"/>
        <v>2227.6942445556811</v>
      </c>
      <c r="I852">
        <f t="shared" si="68"/>
        <v>9962.5515278230869</v>
      </c>
    </row>
    <row r="853" spans="1:9" x14ac:dyDescent="0.45">
      <c r="A853">
        <v>-9.8954387794947252E-3</v>
      </c>
      <c r="B853">
        <f t="shared" si="71"/>
        <v>9.7919708638728056E-5</v>
      </c>
      <c r="E853">
        <f t="shared" si="69"/>
        <v>9.0640163637776519E-5</v>
      </c>
      <c r="F853">
        <f t="shared" si="70"/>
        <v>9.5205127822915354E-3</v>
      </c>
      <c r="G853" s="1">
        <f t="shared" si="66"/>
        <v>2.2135192218827822E-2</v>
      </c>
      <c r="H853">
        <f t="shared" si="67"/>
        <v>2213.5192218827824</v>
      </c>
      <c r="I853">
        <f t="shared" si="68"/>
        <v>9899.158899264683</v>
      </c>
    </row>
    <row r="854" spans="1:9" x14ac:dyDescent="0.45">
      <c r="A854">
        <v>1.1553856893442571E-2</v>
      </c>
      <c r="B854">
        <f t="shared" si="71"/>
        <v>1.3349160911415041E-4</v>
      </c>
      <c r="E854">
        <f t="shared" si="69"/>
        <v>9.1002723022137123E-5</v>
      </c>
      <c r="F854">
        <f t="shared" si="70"/>
        <v>9.5395347382425909E-3</v>
      </c>
      <c r="G854" s="1">
        <f t="shared" si="66"/>
        <v>2.2179418266414026E-2</v>
      </c>
      <c r="H854">
        <f t="shared" si="67"/>
        <v>2217.9418266414027</v>
      </c>
      <c r="I854">
        <f t="shared" si="68"/>
        <v>9918.9373890204624</v>
      </c>
    </row>
    <row r="855" spans="1:9" x14ac:dyDescent="0.45">
      <c r="A855">
        <v>-1.4892657418386079E-2</v>
      </c>
      <c r="B855">
        <f t="shared" si="71"/>
        <v>2.2179124498140993E-4</v>
      </c>
      <c r="E855">
        <f t="shared" si="69"/>
        <v>9.3122858478453358E-5</v>
      </c>
      <c r="F855">
        <f t="shared" si="70"/>
        <v>9.6500185739952522E-3</v>
      </c>
      <c r="G855" s="1">
        <f t="shared" si="66"/>
        <v>2.2436293184538963E-2</v>
      </c>
      <c r="H855">
        <f t="shared" si="67"/>
        <v>2243.6293184538963</v>
      </c>
      <c r="I855">
        <f t="shared" si="68"/>
        <v>10033.815344748871</v>
      </c>
    </row>
    <row r="856" spans="1:9" x14ac:dyDescent="0.45">
      <c r="A856">
        <v>4.6884679250069894E-3</v>
      </c>
      <c r="B856">
        <f t="shared" si="71"/>
        <v>2.1981731483819346E-5</v>
      </c>
      <c r="E856">
        <f t="shared" si="69"/>
        <v>9.9549589665790404E-5</v>
      </c>
      <c r="F856">
        <f t="shared" si="70"/>
        <v>9.9774540673355349E-3</v>
      </c>
      <c r="G856" s="1">
        <f t="shared" si="66"/>
        <v>2.3197580706555119E-2</v>
      </c>
      <c r="H856">
        <f t="shared" si="67"/>
        <v>2319.7580706555118</v>
      </c>
      <c r="I856">
        <f t="shared" si="68"/>
        <v>10374.27347467897</v>
      </c>
    </row>
    <row r="857" spans="1:9" x14ac:dyDescent="0.45">
      <c r="A857">
        <v>-9.1003585112048313E-3</v>
      </c>
      <c r="B857">
        <f t="shared" si="71"/>
        <v>8.2816525032458212E-5</v>
      </c>
      <c r="E857">
        <f t="shared" si="69"/>
        <v>9.5648634432683272E-5</v>
      </c>
      <c r="F857">
        <f t="shared" si="70"/>
        <v>9.7800119853036615E-3</v>
      </c>
      <c r="G857" s="1">
        <f t="shared" ref="G857:G920" si="72">F857*$H$1</f>
        <v>2.2738527865831016E-2</v>
      </c>
      <c r="H857">
        <f t="shared" ref="H857:H920" si="73">G857*$H$2</f>
        <v>2273.8527865831015</v>
      </c>
      <c r="I857">
        <f t="shared" ref="I857:I920" si="74">H857*SQRT($H$3)</f>
        <v>10168.978803254275</v>
      </c>
    </row>
    <row r="858" spans="1:9" x14ac:dyDescent="0.45">
      <c r="A858">
        <v>-1.1465431271062698E-3</v>
      </c>
      <c r="B858">
        <f t="shared" si="71"/>
        <v>1.314561142314624E-6</v>
      </c>
      <c r="E858">
        <f t="shared" ref="E858:E921" si="75">(1-$E$1)*SUMPRODUCT($D$2:$D$151,B708:B857)</f>
        <v>9.5002542142247432E-5</v>
      </c>
      <c r="F858">
        <f t="shared" ref="F858:F921" si="76">SQRT(E858)</f>
        <v>9.7469247530822482E-3</v>
      </c>
      <c r="G858" s="1">
        <f t="shared" si="72"/>
        <v>2.266160005091623E-2</v>
      </c>
      <c r="H858">
        <f t="shared" si="73"/>
        <v>2266.1600050916231</v>
      </c>
      <c r="I858">
        <f t="shared" si="74"/>
        <v>10134.575638552278</v>
      </c>
    </row>
    <row r="859" spans="1:9" x14ac:dyDescent="0.45">
      <c r="A859">
        <v>-1.4621036825701594E-3</v>
      </c>
      <c r="B859">
        <f t="shared" si="71"/>
        <v>2.1377471785852215E-6</v>
      </c>
      <c r="E859">
        <f t="shared" si="75"/>
        <v>9.0315122001437549E-5</v>
      </c>
      <c r="F859">
        <f t="shared" si="76"/>
        <v>9.5034268556893498E-3</v>
      </c>
      <c r="G859" s="1">
        <f t="shared" si="72"/>
        <v>2.209546743947774E-2</v>
      </c>
      <c r="H859">
        <f t="shared" si="73"/>
        <v>2209.5467439477738</v>
      </c>
      <c r="I859">
        <f t="shared" si="74"/>
        <v>9881.3934378610884</v>
      </c>
    </row>
    <row r="860" spans="1:9" x14ac:dyDescent="0.45">
      <c r="A860">
        <v>-1.0057760846393649E-2</v>
      </c>
      <c r="B860">
        <f t="shared" si="71"/>
        <v>1.0115855324324909E-4</v>
      </c>
      <c r="E860">
        <f t="shared" si="75"/>
        <v>8.5902890835788225E-5</v>
      </c>
      <c r="F860">
        <f t="shared" si="76"/>
        <v>9.26838124139206E-3</v>
      </c>
      <c r="G860" s="1">
        <f t="shared" si="72"/>
        <v>2.1548986386236542E-2</v>
      </c>
      <c r="H860">
        <f t="shared" si="73"/>
        <v>2154.8986386236543</v>
      </c>
      <c r="I860">
        <f t="shared" si="74"/>
        <v>9636.9996811684905</v>
      </c>
    </row>
    <row r="861" spans="1:9" x14ac:dyDescent="0.45">
      <c r="A861">
        <v>-8.9337845565751195E-3</v>
      </c>
      <c r="B861">
        <f t="shared" si="71"/>
        <v>7.9812506503300104E-5</v>
      </c>
      <c r="E861">
        <f t="shared" si="75"/>
        <v>8.6663686321310446E-5</v>
      </c>
      <c r="F861">
        <f t="shared" si="76"/>
        <v>9.3093332909135046E-3</v>
      </c>
      <c r="G861" s="1">
        <f t="shared" si="72"/>
        <v>2.1644199901373899E-2</v>
      </c>
      <c r="H861">
        <f t="shared" si="73"/>
        <v>2164.41999013739</v>
      </c>
      <c r="I861">
        <f t="shared" si="74"/>
        <v>9679.5804596132566</v>
      </c>
    </row>
    <row r="862" spans="1:9" x14ac:dyDescent="0.45">
      <c r="A862">
        <v>-1.240539404534502E-3</v>
      </c>
      <c r="B862">
        <f t="shared" si="71"/>
        <v>1.5389380142028168E-6</v>
      </c>
      <c r="E862">
        <f t="shared" si="75"/>
        <v>8.6320393821316324E-5</v>
      </c>
      <c r="F862">
        <f t="shared" si="76"/>
        <v>9.290876913473578E-3</v>
      </c>
      <c r="G862" s="1">
        <f t="shared" si="72"/>
        <v>2.160128882382607E-2</v>
      </c>
      <c r="H862">
        <f t="shared" si="73"/>
        <v>2160.1288823826071</v>
      </c>
      <c r="I862">
        <f t="shared" si="74"/>
        <v>9660.3900423363157</v>
      </c>
    </row>
    <row r="863" spans="1:9" x14ac:dyDescent="0.45">
      <c r="A863">
        <v>-4.7562025429215282E-4</v>
      </c>
      <c r="B863">
        <f t="shared" si="71"/>
        <v>2.2621462629293211E-7</v>
      </c>
      <c r="E863">
        <f t="shared" si="75"/>
        <v>8.2081257885872043E-5</v>
      </c>
      <c r="F863">
        <f t="shared" si="76"/>
        <v>9.0598707433313889E-3</v>
      </c>
      <c r="G863" s="1">
        <f t="shared" si="72"/>
        <v>2.106419947824548E-2</v>
      </c>
      <c r="H863">
        <f t="shared" si="73"/>
        <v>2106.4199478245482</v>
      </c>
      <c r="I863">
        <f t="shared" si="74"/>
        <v>9420.1963849945005</v>
      </c>
    </row>
    <row r="864" spans="1:9" x14ac:dyDescent="0.45">
      <c r="A864">
        <v>7.9231881500163581E-3</v>
      </c>
      <c r="B864">
        <f t="shared" si="71"/>
        <v>6.2776910460559643E-5</v>
      </c>
      <c r="E864">
        <f t="shared" si="75"/>
        <v>7.7985711865469857E-5</v>
      </c>
      <c r="F864">
        <f t="shared" si="76"/>
        <v>8.8309519229508807E-3</v>
      </c>
      <c r="G864" s="1">
        <f t="shared" si="72"/>
        <v>2.0531963220860799E-2</v>
      </c>
      <c r="H864">
        <f t="shared" si="73"/>
        <v>2053.1963220860798</v>
      </c>
      <c r="I864">
        <f t="shared" si="74"/>
        <v>9182.1730946740554</v>
      </c>
    </row>
    <row r="865" spans="1:9" x14ac:dyDescent="0.45">
      <c r="A865">
        <v>1.8009018276643474E-3</v>
      </c>
      <c r="B865">
        <f t="shared" si="71"/>
        <v>3.2432473928847866E-6</v>
      </c>
      <c r="E865">
        <f t="shared" si="75"/>
        <v>7.722527051812024E-5</v>
      </c>
      <c r="F865">
        <f t="shared" si="76"/>
        <v>8.7877909919456005E-3</v>
      </c>
      <c r="G865" s="1">
        <f t="shared" si="72"/>
        <v>2.0431614056273521E-2</v>
      </c>
      <c r="H865">
        <f t="shared" si="73"/>
        <v>2043.1614056273522</v>
      </c>
      <c r="I865">
        <f t="shared" si="74"/>
        <v>9137.2955839735623</v>
      </c>
    </row>
    <row r="866" spans="1:9" x14ac:dyDescent="0.45">
      <c r="A866">
        <v>1.6431840776931494E-2</v>
      </c>
      <c r="B866">
        <f t="shared" si="71"/>
        <v>2.7000539131842864E-4</v>
      </c>
      <c r="E866">
        <f t="shared" si="75"/>
        <v>7.352561677022689E-5</v>
      </c>
      <c r="F866">
        <f t="shared" si="76"/>
        <v>8.5747079699676591E-3</v>
      </c>
      <c r="G866" s="1">
        <f t="shared" si="72"/>
        <v>1.993619603017481E-2</v>
      </c>
      <c r="H866">
        <f t="shared" si="73"/>
        <v>1993.619603017481</v>
      </c>
      <c r="I866">
        <f t="shared" si="74"/>
        <v>8915.7379072464646</v>
      </c>
    </row>
    <row r="867" spans="1:9" x14ac:dyDescent="0.45">
      <c r="A867">
        <v>2.6195152713626157E-3</v>
      </c>
      <c r="B867">
        <f t="shared" si="71"/>
        <v>6.8618602569019581E-6</v>
      </c>
      <c r="E867">
        <f t="shared" si="75"/>
        <v>8.3346609215912958E-5</v>
      </c>
      <c r="F867">
        <f t="shared" si="76"/>
        <v>9.1294364128303648E-3</v>
      </c>
      <c r="G867" s="1">
        <f t="shared" si="72"/>
        <v>2.1225939659830599E-2</v>
      </c>
      <c r="H867">
        <f t="shared" si="73"/>
        <v>2122.5939659830601</v>
      </c>
      <c r="I867">
        <f t="shared" si="74"/>
        <v>9492.5287931379971</v>
      </c>
    </row>
    <row r="868" spans="1:9" x14ac:dyDescent="0.45">
      <c r="A868">
        <v>8.2854626271000598E-3</v>
      </c>
      <c r="B868">
        <f t="shared" si="71"/>
        <v>6.8648890945071826E-5</v>
      </c>
      <c r="E868">
        <f t="shared" si="75"/>
        <v>7.9522369488170761E-5</v>
      </c>
      <c r="F868">
        <f t="shared" si="76"/>
        <v>8.9175315804414599E-3</v>
      </c>
      <c r="G868" s="1">
        <f t="shared" si="72"/>
        <v>2.0733260924526396E-2</v>
      </c>
      <c r="H868">
        <f t="shared" si="73"/>
        <v>2073.3260924526398</v>
      </c>
      <c r="I868">
        <f t="shared" si="74"/>
        <v>9272.1961644962339</v>
      </c>
    </row>
    <row r="869" spans="1:9" x14ac:dyDescent="0.45">
      <c r="A869">
        <v>5.2326868171803653E-3</v>
      </c>
      <c r="B869">
        <f t="shared" si="71"/>
        <v>2.7381011326693182E-5</v>
      </c>
      <c r="E869">
        <f t="shared" si="75"/>
        <v>7.8975239426755354E-5</v>
      </c>
      <c r="F869">
        <f t="shared" si="76"/>
        <v>8.8868014170878917E-3</v>
      </c>
      <c r="G869" s="1">
        <f t="shared" si="72"/>
        <v>2.066181329472935E-2</v>
      </c>
      <c r="H869">
        <f t="shared" si="73"/>
        <v>2066.181329472935</v>
      </c>
      <c r="I869">
        <f t="shared" si="74"/>
        <v>9240.2438130847459</v>
      </c>
    </row>
    <row r="870" spans="1:9" x14ac:dyDescent="0.45">
      <c r="A870">
        <v>-7.9221308624255471E-3</v>
      </c>
      <c r="B870">
        <f t="shared" si="71"/>
        <v>6.2760157401395346E-5</v>
      </c>
      <c r="E870">
        <f t="shared" si="75"/>
        <v>7.6395496941973062E-5</v>
      </c>
      <c r="F870">
        <f t="shared" si="76"/>
        <v>8.7404517584603759E-3</v>
      </c>
      <c r="G870" s="1">
        <f t="shared" si="72"/>
        <v>2.0321550338420376E-2</v>
      </c>
      <c r="H870">
        <f t="shared" si="73"/>
        <v>2032.1550338420375</v>
      </c>
      <c r="I870">
        <f t="shared" si="74"/>
        <v>9088.0735929783641</v>
      </c>
    </row>
    <row r="871" spans="1:9" x14ac:dyDescent="0.45">
      <c r="A871">
        <v>-4.2201691030641086E-4</v>
      </c>
      <c r="B871">
        <f t="shared" si="71"/>
        <v>1.7809827258456922E-7</v>
      </c>
      <c r="E871">
        <f t="shared" si="75"/>
        <v>7.571372675645074E-5</v>
      </c>
      <c r="F871">
        <f t="shared" si="76"/>
        <v>8.7013634998459148E-3</v>
      </c>
      <c r="G871" s="1">
        <f t="shared" si="72"/>
        <v>2.0230670137141752E-2</v>
      </c>
      <c r="H871">
        <f t="shared" si="73"/>
        <v>2023.0670137141751</v>
      </c>
      <c r="I871">
        <f t="shared" si="74"/>
        <v>9047.430731404791</v>
      </c>
    </row>
    <row r="872" spans="1:9" x14ac:dyDescent="0.45">
      <c r="A872">
        <v>-5.8055547924595885E-3</v>
      </c>
      <c r="B872">
        <f t="shared" si="71"/>
        <v>3.3704466448250496E-5</v>
      </c>
      <c r="E872">
        <f t="shared" si="75"/>
        <v>7.1936719334614264E-5</v>
      </c>
      <c r="F872">
        <f t="shared" si="76"/>
        <v>8.4815517055910391E-3</v>
      </c>
      <c r="G872" s="1">
        <f t="shared" si="72"/>
        <v>1.9719607715499167E-2</v>
      </c>
      <c r="H872">
        <f t="shared" si="73"/>
        <v>1971.9607715499167</v>
      </c>
      <c r="I872">
        <f t="shared" si="74"/>
        <v>8818.8766682970945</v>
      </c>
    </row>
    <row r="873" spans="1:9" x14ac:dyDescent="0.45">
      <c r="A873">
        <v>-1.350849743175786E-3</v>
      </c>
      <c r="B873">
        <f t="shared" si="71"/>
        <v>1.8247950286380869E-6</v>
      </c>
      <c r="E873">
        <f t="shared" si="75"/>
        <v>7.002290981282721E-5</v>
      </c>
      <c r="F873">
        <f t="shared" si="76"/>
        <v>8.3679692765226618E-3</v>
      </c>
      <c r="G873" s="1">
        <f t="shared" si="72"/>
        <v>1.945552856791519E-2</v>
      </c>
      <c r="H873">
        <f t="shared" si="73"/>
        <v>1945.5528567915189</v>
      </c>
      <c r="I873">
        <f t="shared" si="74"/>
        <v>8700.7768832095007</v>
      </c>
    </row>
    <row r="874" spans="1:9" x14ac:dyDescent="0.45">
      <c r="A874">
        <v>4.0454551708535291E-3</v>
      </c>
      <c r="B874">
        <f t="shared" si="71"/>
        <v>1.6365707539385557E-5</v>
      </c>
      <c r="E874">
        <f t="shared" si="75"/>
        <v>6.6612587663118653E-5</v>
      </c>
      <c r="F874">
        <f t="shared" si="76"/>
        <v>8.1616534883023947E-3</v>
      </c>
      <c r="G874" s="1">
        <f t="shared" si="72"/>
        <v>1.8975844360303071E-2</v>
      </c>
      <c r="H874">
        <f t="shared" si="73"/>
        <v>1897.5844360303072</v>
      </c>
      <c r="I874">
        <f t="shared" si="74"/>
        <v>8486.255584018736</v>
      </c>
    </row>
    <row r="875" spans="1:9" x14ac:dyDescent="0.45">
      <c r="A875">
        <v>-6.5670860749378335E-3</v>
      </c>
      <c r="B875">
        <f t="shared" si="71"/>
        <v>4.3126619515642399E-5</v>
      </c>
      <c r="E875">
        <f t="shared" si="75"/>
        <v>6.4097702290383433E-5</v>
      </c>
      <c r="F875">
        <f t="shared" si="76"/>
        <v>8.0061040644238083E-3</v>
      </c>
      <c r="G875" s="1">
        <f t="shared" si="72"/>
        <v>1.8614191949785357E-2</v>
      </c>
      <c r="H875">
        <f t="shared" si="73"/>
        <v>1861.4191949785356</v>
      </c>
      <c r="I875">
        <f t="shared" si="74"/>
        <v>8324.5197091898826</v>
      </c>
    </row>
    <row r="876" spans="1:9" x14ac:dyDescent="0.45">
      <c r="A876">
        <v>-8.1460939327371307E-3</v>
      </c>
      <c r="B876">
        <f t="shared" si="71"/>
        <v>6.6358846360976695E-5</v>
      </c>
      <c r="E876">
        <f t="shared" si="75"/>
        <v>6.3049142661843018E-5</v>
      </c>
      <c r="F876">
        <f t="shared" si="76"/>
        <v>7.9403490264498468E-3</v>
      </c>
      <c r="G876" s="1">
        <f t="shared" si="72"/>
        <v>1.8461311486495897E-2</v>
      </c>
      <c r="H876">
        <f t="shared" si="73"/>
        <v>1846.1311486495897</v>
      </c>
      <c r="I876">
        <f t="shared" si="74"/>
        <v>8256.1494875205044</v>
      </c>
    </row>
    <row r="877" spans="1:9" x14ac:dyDescent="0.45">
      <c r="A877">
        <v>-5.6567955653008539E-3</v>
      </c>
      <c r="B877">
        <f t="shared" si="71"/>
        <v>3.1999336067607407E-5</v>
      </c>
      <c r="E877">
        <f t="shared" si="75"/>
        <v>6.3211682749412089E-5</v>
      </c>
      <c r="F877">
        <f t="shared" si="76"/>
        <v>7.9505775104335707E-3</v>
      </c>
      <c r="G877" s="1">
        <f t="shared" si="72"/>
        <v>1.8485092711758053E-2</v>
      </c>
      <c r="H877">
        <f t="shared" si="73"/>
        <v>1848.5092711758052</v>
      </c>
      <c r="I877">
        <f t="shared" si="74"/>
        <v>8266.7847747753858</v>
      </c>
    </row>
    <row r="878" spans="1:9" x14ac:dyDescent="0.45">
      <c r="A878">
        <v>-7.8064658737275749E-3</v>
      </c>
      <c r="B878">
        <f t="shared" si="71"/>
        <v>6.0940909437673229E-5</v>
      </c>
      <c r="E878">
        <f t="shared" si="75"/>
        <v>6.1647126127660604E-5</v>
      </c>
      <c r="F878">
        <f t="shared" si="76"/>
        <v>7.8515683864856332E-3</v>
      </c>
      <c r="G878" s="1">
        <f t="shared" si="72"/>
        <v>1.8254896498579098E-2</v>
      </c>
      <c r="H878">
        <f t="shared" si="73"/>
        <v>1825.4896498579099</v>
      </c>
      <c r="I878">
        <f t="shared" si="74"/>
        <v>8163.837898609152</v>
      </c>
    </row>
    <row r="879" spans="1:9" x14ac:dyDescent="0.45">
      <c r="A879">
        <v>4.7867843022686429E-4</v>
      </c>
      <c r="B879">
        <f t="shared" si="71"/>
        <v>2.2913303956445497E-7</v>
      </c>
      <c r="E879">
        <f t="shared" si="75"/>
        <v>6.1611576291219217E-5</v>
      </c>
      <c r="F879">
        <f t="shared" si="76"/>
        <v>7.8493041915331085E-3</v>
      </c>
      <c r="G879" s="1">
        <f t="shared" si="72"/>
        <v>1.8249632245314479E-2</v>
      </c>
      <c r="H879">
        <f t="shared" si="73"/>
        <v>1824.9632245314478</v>
      </c>
      <c r="I879">
        <f t="shared" si="74"/>
        <v>8161.4836529790591</v>
      </c>
    </row>
    <row r="880" spans="1:9" x14ac:dyDescent="0.45">
      <c r="A880">
        <v>-1.766729837981984E-2</v>
      </c>
      <c r="B880">
        <f t="shared" si="71"/>
        <v>3.1213343204158477E-4</v>
      </c>
      <c r="E880">
        <f t="shared" si="75"/>
        <v>5.8540039853656086E-5</v>
      </c>
      <c r="F880">
        <f t="shared" si="76"/>
        <v>7.6511463097797367E-3</v>
      </c>
      <c r="G880" s="1">
        <f t="shared" si="72"/>
        <v>1.7788915170237889E-2</v>
      </c>
      <c r="H880">
        <f t="shared" si="73"/>
        <v>1778.8915170237888</v>
      </c>
      <c r="I880">
        <f t="shared" si="74"/>
        <v>7955.4447133258327</v>
      </c>
    </row>
    <row r="881" spans="1:9" x14ac:dyDescent="0.45">
      <c r="A881">
        <v>1.6099534150271211E-3</v>
      </c>
      <c r="B881">
        <f t="shared" si="71"/>
        <v>2.5919499985574896E-6</v>
      </c>
      <c r="E881">
        <f t="shared" si="75"/>
        <v>7.1219671655813673E-5</v>
      </c>
      <c r="F881">
        <f t="shared" si="76"/>
        <v>8.4391748207874959E-3</v>
      </c>
      <c r="G881" s="1">
        <f t="shared" si="72"/>
        <v>1.9621081458330931E-2</v>
      </c>
      <c r="H881">
        <f t="shared" si="73"/>
        <v>1962.108145833093</v>
      </c>
      <c r="I881">
        <f t="shared" si="74"/>
        <v>8774.8143865777329</v>
      </c>
    </row>
    <row r="882" spans="1:9" x14ac:dyDescent="0.45">
      <c r="A882">
        <v>-9.7319798442185856E-3</v>
      </c>
      <c r="B882">
        <f t="shared" si="71"/>
        <v>9.4711431688276808E-5</v>
      </c>
      <c r="E882">
        <f t="shared" si="75"/>
        <v>6.7786436295619456E-5</v>
      </c>
      <c r="F882">
        <f t="shared" si="76"/>
        <v>8.233251866402452E-3</v>
      </c>
      <c r="G882" s="1">
        <f t="shared" si="72"/>
        <v>1.9142310589385703E-2</v>
      </c>
      <c r="H882">
        <f t="shared" si="73"/>
        <v>1914.2310589385702</v>
      </c>
      <c r="I882">
        <f t="shared" si="74"/>
        <v>8560.7015448560996</v>
      </c>
    </row>
    <row r="883" spans="1:9" x14ac:dyDescent="0.45">
      <c r="A883">
        <v>-1.7242746253032237E-2</v>
      </c>
      <c r="B883">
        <f t="shared" si="71"/>
        <v>2.9731229834645728E-4</v>
      </c>
      <c r="E883">
        <f t="shared" si="75"/>
        <v>6.9123639017255596E-5</v>
      </c>
      <c r="F883">
        <f t="shared" si="76"/>
        <v>8.3140627263243328E-3</v>
      </c>
      <c r="G883" s="1">
        <f t="shared" si="72"/>
        <v>1.9330195838704076E-2</v>
      </c>
      <c r="H883">
        <f t="shared" si="73"/>
        <v>1933.0195838704076</v>
      </c>
      <c r="I883">
        <f t="shared" si="74"/>
        <v>8644.7263827451752</v>
      </c>
    </row>
    <row r="884" spans="1:9" x14ac:dyDescent="0.45">
      <c r="A884">
        <v>-7.355743036896456E-3</v>
      </c>
      <c r="B884">
        <f t="shared" si="71"/>
        <v>5.4106955624850695E-5</v>
      </c>
      <c r="E884">
        <f t="shared" si="75"/>
        <v>8.0528856677124528E-5</v>
      </c>
      <c r="F884">
        <f t="shared" si="76"/>
        <v>8.9737871981190043E-3</v>
      </c>
      <c r="G884" s="1">
        <f t="shared" si="72"/>
        <v>2.0864055235626688E-2</v>
      </c>
      <c r="H884">
        <f t="shared" si="73"/>
        <v>2086.4055235626688</v>
      </c>
      <c r="I884">
        <f t="shared" si="74"/>
        <v>9330.6891586343336</v>
      </c>
    </row>
    <row r="885" spans="1:9" x14ac:dyDescent="0.45">
      <c r="A885">
        <v>-1.19194282888202E-2</v>
      </c>
      <c r="B885">
        <f t="shared" si="71"/>
        <v>1.4207277073232722E-4</v>
      </c>
      <c r="E885">
        <f t="shared" si="75"/>
        <v>7.9204200863665689E-5</v>
      </c>
      <c r="F885">
        <f t="shared" si="76"/>
        <v>8.8996741998606712E-3</v>
      </c>
      <c r="G885" s="1">
        <f t="shared" si="72"/>
        <v>2.0691742514676061E-2</v>
      </c>
      <c r="H885">
        <f t="shared" si="73"/>
        <v>2069.1742514676062</v>
      </c>
      <c r="I885">
        <f t="shared" si="74"/>
        <v>9253.6285671476235</v>
      </c>
    </row>
    <row r="886" spans="1:9" x14ac:dyDescent="0.45">
      <c r="A886">
        <v>1.1260613064223435E-2</v>
      </c>
      <c r="B886">
        <f t="shared" si="71"/>
        <v>1.268014065821595E-4</v>
      </c>
      <c r="E886">
        <f t="shared" si="75"/>
        <v>8.2344724777404024E-5</v>
      </c>
      <c r="F886">
        <f t="shared" si="76"/>
        <v>9.0743994168982905E-3</v>
      </c>
      <c r="G886" s="1">
        <f t="shared" si="72"/>
        <v>2.1097978644288529E-2</v>
      </c>
      <c r="H886">
        <f t="shared" si="73"/>
        <v>2109.7978644288528</v>
      </c>
      <c r="I886">
        <f t="shared" si="74"/>
        <v>9435.3028872936011</v>
      </c>
    </row>
    <row r="887" spans="1:9" x14ac:dyDescent="0.45">
      <c r="A887">
        <v>2.1261257643345743E-3</v>
      </c>
      <c r="B887">
        <f t="shared" si="71"/>
        <v>4.520410765767278E-6</v>
      </c>
      <c r="E887">
        <f t="shared" si="75"/>
        <v>8.456213158663511E-5</v>
      </c>
      <c r="F887">
        <f t="shared" si="76"/>
        <v>9.1957670472144464E-3</v>
      </c>
      <c r="G887" s="1">
        <f t="shared" si="72"/>
        <v>2.1380158384773591E-2</v>
      </c>
      <c r="H887">
        <f t="shared" si="73"/>
        <v>2138.015838477359</v>
      </c>
      <c r="I887">
        <f t="shared" si="74"/>
        <v>9561.4975036131709</v>
      </c>
    </row>
    <row r="888" spans="1:9" x14ac:dyDescent="0.45">
      <c r="A888">
        <v>-2.3929487724672072E-3</v>
      </c>
      <c r="B888">
        <f t="shared" si="71"/>
        <v>5.7262038276523135E-6</v>
      </c>
      <c r="E888">
        <f t="shared" si="75"/>
        <v>8.0546372425239395E-5</v>
      </c>
      <c r="F888">
        <f t="shared" si="76"/>
        <v>8.9747630846301121E-3</v>
      </c>
      <c r="G888" s="1">
        <f t="shared" si="72"/>
        <v>2.0866324171765014E-2</v>
      </c>
      <c r="H888">
        <f t="shared" si="73"/>
        <v>2086.6324171765013</v>
      </c>
      <c r="I888">
        <f t="shared" si="74"/>
        <v>9331.703857722714</v>
      </c>
    </row>
    <row r="889" spans="1:9" x14ac:dyDescent="0.45">
      <c r="A889">
        <v>1.23049403555342E-2</v>
      </c>
      <c r="B889">
        <f t="shared" si="71"/>
        <v>1.5141155715325412E-4</v>
      </c>
      <c r="E889">
        <f t="shared" si="75"/>
        <v>7.6805212568836523E-5</v>
      </c>
      <c r="F889">
        <f t="shared" si="76"/>
        <v>8.7638583151963684E-3</v>
      </c>
      <c r="G889" s="1">
        <f t="shared" si="72"/>
        <v>2.0375970582831558E-2</v>
      </c>
      <c r="H889">
        <f t="shared" si="73"/>
        <v>2037.5970582831558</v>
      </c>
      <c r="I889">
        <f t="shared" si="74"/>
        <v>9112.4110661494742</v>
      </c>
    </row>
    <row r="890" spans="1:9" x14ac:dyDescent="0.45">
      <c r="A890">
        <v>1.605303623364307E-3</v>
      </c>
      <c r="B890">
        <f t="shared" si="71"/>
        <v>2.5769997231865726E-6</v>
      </c>
      <c r="E890">
        <f t="shared" si="75"/>
        <v>8.0535039254957345E-5</v>
      </c>
      <c r="F890">
        <f t="shared" si="76"/>
        <v>8.9741316713628262E-3</v>
      </c>
      <c r="G890" s="1">
        <f t="shared" si="72"/>
        <v>2.0864856135918573E-2</v>
      </c>
      <c r="H890">
        <f t="shared" si="73"/>
        <v>2086.4856135918571</v>
      </c>
      <c r="I890">
        <f t="shared" si="74"/>
        <v>9331.047332133503</v>
      </c>
    </row>
    <row r="891" spans="1:9" x14ac:dyDescent="0.45">
      <c r="A891">
        <v>6.1180571719887666E-3</v>
      </c>
      <c r="B891">
        <f t="shared" si="71"/>
        <v>3.7430623559723183E-5</v>
      </c>
      <c r="E891">
        <f t="shared" si="75"/>
        <v>7.6636053106393553E-5</v>
      </c>
      <c r="F891">
        <f t="shared" si="76"/>
        <v>8.7542020256785001E-3</v>
      </c>
      <c r="G891" s="1">
        <f t="shared" si="72"/>
        <v>2.0353519709702516E-2</v>
      </c>
      <c r="H891">
        <f t="shared" si="73"/>
        <v>2035.3519709702516</v>
      </c>
      <c r="I891">
        <f t="shared" si="74"/>
        <v>9102.3707304553227</v>
      </c>
    </row>
    <row r="892" spans="1:9" x14ac:dyDescent="0.45">
      <c r="A892">
        <v>-9.6422354545211419E-4</v>
      </c>
      <c r="B892">
        <f t="shared" si="71"/>
        <v>9.2972704560424528E-7</v>
      </c>
      <c r="E892">
        <f t="shared" si="75"/>
        <v>7.4675778098764415E-5</v>
      </c>
      <c r="F892">
        <f t="shared" si="76"/>
        <v>8.641514803480025E-3</v>
      </c>
      <c r="G892" s="1">
        <f t="shared" si="72"/>
        <v>2.0091521918091059E-2</v>
      </c>
      <c r="H892">
        <f t="shared" si="73"/>
        <v>2009.1521918091059</v>
      </c>
      <c r="I892">
        <f t="shared" si="74"/>
        <v>8985.2017560557142</v>
      </c>
    </row>
    <row r="893" spans="1:9" x14ac:dyDescent="0.45">
      <c r="A893">
        <v>5.9145349950995296E-3</v>
      </c>
      <c r="B893">
        <f t="shared" si="71"/>
        <v>3.4981724208256992E-5</v>
      </c>
      <c r="E893">
        <f t="shared" si="75"/>
        <v>7.0987734579566422E-5</v>
      </c>
      <c r="F893">
        <f t="shared" si="76"/>
        <v>8.4254219229405024E-3</v>
      </c>
      <c r="G893" s="1">
        <f t="shared" si="72"/>
        <v>1.958910597083667E-2</v>
      </c>
      <c r="H893">
        <f t="shared" si="73"/>
        <v>1958.910597083667</v>
      </c>
      <c r="I893">
        <f t="shared" si="74"/>
        <v>8760.5145138475618</v>
      </c>
    </row>
    <row r="894" spans="1:9" x14ac:dyDescent="0.45">
      <c r="A894">
        <v>3.3143237487820443E-3</v>
      </c>
      <c r="B894">
        <f t="shared" si="71"/>
        <v>1.0984741911740663E-5</v>
      </c>
      <c r="E894">
        <f t="shared" si="75"/>
        <v>6.9185586668478225E-5</v>
      </c>
      <c r="F894">
        <f t="shared" si="76"/>
        <v>8.3177873661496194E-3</v>
      </c>
      <c r="G894" s="1">
        <f t="shared" si="72"/>
        <v>1.9338855626297866E-2</v>
      </c>
      <c r="H894">
        <f t="shared" si="73"/>
        <v>1933.8855626297866</v>
      </c>
      <c r="I894">
        <f t="shared" si="74"/>
        <v>8648.5991574912605</v>
      </c>
    </row>
    <row r="895" spans="1:9" x14ac:dyDescent="0.45">
      <c r="A895">
        <v>-1.0342182577005588E-2</v>
      </c>
      <c r="B895">
        <f t="shared" si="71"/>
        <v>1.0696074045611793E-4</v>
      </c>
      <c r="E895">
        <f t="shared" si="75"/>
        <v>6.62748754069193E-5</v>
      </c>
      <c r="F895">
        <f t="shared" si="76"/>
        <v>8.1409382387363245E-3</v>
      </c>
      <c r="G895" s="1">
        <f t="shared" si="72"/>
        <v>1.8927681405061954E-2</v>
      </c>
      <c r="H895">
        <f t="shared" si="73"/>
        <v>1892.7681405061956</v>
      </c>
      <c r="I895">
        <f t="shared" si="74"/>
        <v>8464.7164556354528</v>
      </c>
    </row>
    <row r="896" spans="1:9" x14ac:dyDescent="0.45">
      <c r="A896">
        <v>-1.9691015040734783E-3</v>
      </c>
      <c r="B896">
        <f t="shared" si="71"/>
        <v>3.8773607333444342E-6</v>
      </c>
      <c r="E896">
        <f t="shared" si="75"/>
        <v>6.8304916042310733E-5</v>
      </c>
      <c r="F896">
        <f t="shared" si="76"/>
        <v>8.2646788226954544E-3</v>
      </c>
      <c r="G896" s="1">
        <f t="shared" si="72"/>
        <v>1.9215378262766931E-2</v>
      </c>
      <c r="H896">
        <f t="shared" si="73"/>
        <v>1921.5378262766931</v>
      </c>
      <c r="I896">
        <f t="shared" si="74"/>
        <v>8593.3784017837352</v>
      </c>
    </row>
    <row r="897" spans="1:9" x14ac:dyDescent="0.45">
      <c r="A897">
        <v>1.4986062524258159E-2</v>
      </c>
      <c r="B897">
        <f t="shared" si="71"/>
        <v>2.2458206998097482E-4</v>
      </c>
      <c r="E897">
        <f t="shared" si="75"/>
        <v>6.5083465925617857E-5</v>
      </c>
      <c r="F897">
        <f t="shared" si="76"/>
        <v>8.0674324246080825E-3</v>
      </c>
      <c r="G897" s="1">
        <f t="shared" si="72"/>
        <v>1.8756780387213793E-2</v>
      </c>
      <c r="H897">
        <f t="shared" si="73"/>
        <v>1875.6780387213794</v>
      </c>
      <c r="I897">
        <f t="shared" si="74"/>
        <v>8388.287196968975</v>
      </c>
    </row>
    <row r="898" spans="1:9" x14ac:dyDescent="0.45">
      <c r="A898">
        <v>-1.3377302821027115E-3</v>
      </c>
      <c r="B898">
        <f t="shared" si="71"/>
        <v>1.7895223076546001E-6</v>
      </c>
      <c r="E898">
        <f t="shared" si="75"/>
        <v>7.3058355178431795E-5</v>
      </c>
      <c r="F898">
        <f t="shared" si="76"/>
        <v>8.5474180416329117E-3</v>
      </c>
      <c r="G898" s="1">
        <f t="shared" si="72"/>
        <v>1.987274694679652E-2</v>
      </c>
      <c r="H898">
        <f t="shared" si="73"/>
        <v>1987.2746946796519</v>
      </c>
      <c r="I898">
        <f t="shared" si="74"/>
        <v>8887.3626145376838</v>
      </c>
    </row>
    <row r="899" spans="1:9" x14ac:dyDescent="0.45">
      <c r="A899">
        <v>-8.5757847045897506E-3</v>
      </c>
      <c r="B899">
        <f t="shared" ref="B899:B962" si="77">A899^2</f>
        <v>7.3544083299475512E-5</v>
      </c>
      <c r="E899">
        <f t="shared" si="75"/>
        <v>6.9494794663614286E-5</v>
      </c>
      <c r="F899">
        <f t="shared" si="76"/>
        <v>8.3363537990907201E-3</v>
      </c>
      <c r="G899" s="1">
        <f t="shared" si="72"/>
        <v>1.9382022582885926E-2</v>
      </c>
      <c r="H899">
        <f t="shared" si="73"/>
        <v>1938.2022582885925</v>
      </c>
      <c r="I899">
        <f t="shared" si="74"/>
        <v>8667.9040073537963</v>
      </c>
    </row>
    <row r="900" spans="1:9" x14ac:dyDescent="0.45">
      <c r="A900">
        <v>-5.672063707606867E-3</v>
      </c>
      <c r="B900">
        <f t="shared" si="77"/>
        <v>3.2172306703150957E-5</v>
      </c>
      <c r="E900">
        <f t="shared" si="75"/>
        <v>6.9697160180707125E-5</v>
      </c>
      <c r="F900">
        <f t="shared" si="76"/>
        <v>8.3484825076601266E-3</v>
      </c>
      <c r="G900" s="1">
        <f t="shared" si="72"/>
        <v>1.9410221830309795E-2</v>
      </c>
      <c r="H900">
        <f t="shared" si="73"/>
        <v>1941.0221830309795</v>
      </c>
      <c r="I900">
        <f t="shared" si="74"/>
        <v>8680.5150941846186</v>
      </c>
    </row>
    <row r="901" spans="1:9" x14ac:dyDescent="0.45">
      <c r="A901">
        <v>1.217708813783247E-2</v>
      </c>
      <c r="B901">
        <f t="shared" si="77"/>
        <v>1.4828147551654026E-4</v>
      </c>
      <c r="E901">
        <f t="shared" si="75"/>
        <v>6.7815195656807962E-5</v>
      </c>
      <c r="F901">
        <f t="shared" si="76"/>
        <v>8.2349982183852338E-3</v>
      </c>
      <c r="G901" s="1">
        <f t="shared" si="72"/>
        <v>1.9146370857745669E-2</v>
      </c>
      <c r="H901">
        <f t="shared" si="73"/>
        <v>1914.6370857745669</v>
      </c>
      <c r="I901">
        <f t="shared" si="74"/>
        <v>8562.5173520680546</v>
      </c>
    </row>
    <row r="902" spans="1:9" x14ac:dyDescent="0.45">
      <c r="A902">
        <v>-4.6296236178022809E-3</v>
      </c>
      <c r="B902">
        <f t="shared" si="77"/>
        <v>2.143341484251268E-5</v>
      </c>
      <c r="E902">
        <f t="shared" si="75"/>
        <v>7.1838509589061499E-5</v>
      </c>
      <c r="F902">
        <f t="shared" si="76"/>
        <v>8.4757601186596539E-3</v>
      </c>
      <c r="G902" s="1">
        <f t="shared" si="72"/>
        <v>1.9706142275883697E-2</v>
      </c>
      <c r="H902">
        <f t="shared" si="73"/>
        <v>1970.6142275883697</v>
      </c>
      <c r="I902">
        <f t="shared" si="74"/>
        <v>8812.854740631672</v>
      </c>
    </row>
    <row r="903" spans="1:9" x14ac:dyDescent="0.45">
      <c r="A903">
        <v>-7.8023049354669638E-3</v>
      </c>
      <c r="B903">
        <f t="shared" si="77"/>
        <v>6.087596230601214E-5</v>
      </c>
      <c r="E903">
        <f t="shared" si="75"/>
        <v>6.9318244073985255E-5</v>
      </c>
      <c r="F903">
        <f t="shared" si="76"/>
        <v>8.3257578678451408E-3</v>
      </c>
      <c r="G903" s="1">
        <f t="shared" si="72"/>
        <v>1.9357387042739954E-2</v>
      </c>
      <c r="H903">
        <f t="shared" si="73"/>
        <v>1935.7387042739954</v>
      </c>
      <c r="I903">
        <f t="shared" si="74"/>
        <v>8656.8866588680339</v>
      </c>
    </row>
    <row r="904" spans="1:9" x14ac:dyDescent="0.45">
      <c r="A904">
        <v>4.4430862544686534E-3</v>
      </c>
      <c r="B904">
        <f t="shared" si="77"/>
        <v>1.9741015464648286E-5</v>
      </c>
      <c r="E904">
        <f t="shared" si="75"/>
        <v>6.8887784525648594E-5</v>
      </c>
      <c r="F904">
        <f t="shared" si="76"/>
        <v>8.2998665366166343E-3</v>
      </c>
      <c r="G904" s="1">
        <f t="shared" si="72"/>
        <v>1.9297189697633676E-2</v>
      </c>
      <c r="H904">
        <f t="shared" si="73"/>
        <v>1929.7189697633676</v>
      </c>
      <c r="I904">
        <f t="shared" si="74"/>
        <v>8629.9655877235018</v>
      </c>
    </row>
    <row r="905" spans="1:9" x14ac:dyDescent="0.45">
      <c r="A905">
        <v>-8.6200770965660922E-3</v>
      </c>
      <c r="B905">
        <f t="shared" si="77"/>
        <v>7.4305729150743311E-5</v>
      </c>
      <c r="E905">
        <f t="shared" si="75"/>
        <v>6.6429363425798472E-5</v>
      </c>
      <c r="F905">
        <f t="shared" si="76"/>
        <v>8.1504210581907037E-3</v>
      </c>
      <c r="G905" s="1">
        <f t="shared" si="72"/>
        <v>1.8949728960293389E-2</v>
      </c>
      <c r="H905">
        <f t="shared" si="73"/>
        <v>1894.9728960293389</v>
      </c>
      <c r="I905">
        <f t="shared" si="74"/>
        <v>8474.5764220824876</v>
      </c>
    </row>
    <row r="906" spans="1:9" x14ac:dyDescent="0.45">
      <c r="A906">
        <v>1.0503413250262383E-3</v>
      </c>
      <c r="B906">
        <f t="shared" si="77"/>
        <v>1.103216899057874E-6</v>
      </c>
      <c r="E906">
        <f t="shared" si="75"/>
        <v>6.682317657612237E-5</v>
      </c>
      <c r="F906">
        <f t="shared" si="76"/>
        <v>8.1745444262125311E-3</v>
      </c>
      <c r="G906" s="1">
        <f t="shared" si="72"/>
        <v>1.9005815790944135E-2</v>
      </c>
      <c r="H906">
        <f t="shared" si="73"/>
        <v>1900.5815790944134</v>
      </c>
      <c r="I906">
        <f t="shared" si="74"/>
        <v>8499.6592152780031</v>
      </c>
    </row>
    <row r="907" spans="1:9" x14ac:dyDescent="0.45">
      <c r="A907">
        <v>1.0718849807744846E-3</v>
      </c>
      <c r="B907">
        <f t="shared" si="77"/>
        <v>1.1489374120099172E-6</v>
      </c>
      <c r="E907">
        <f t="shared" si="75"/>
        <v>6.3520623261149669E-5</v>
      </c>
      <c r="F907">
        <f t="shared" si="76"/>
        <v>7.969982638698133E-3</v>
      </c>
      <c r="G907" s="1">
        <f t="shared" si="72"/>
        <v>1.853020963497316E-2</v>
      </c>
      <c r="H907">
        <f t="shared" si="73"/>
        <v>1853.020963497316</v>
      </c>
      <c r="I907">
        <f t="shared" si="74"/>
        <v>8286.9616762243095</v>
      </c>
    </row>
    <row r="908" spans="1:9" x14ac:dyDescent="0.45">
      <c r="A908">
        <v>9.7345491667510942E-4</v>
      </c>
      <c r="B908">
        <f t="shared" si="77"/>
        <v>9.4761447479894416E-7</v>
      </c>
      <c r="E908">
        <f t="shared" si="75"/>
        <v>6.0401824792914346E-5</v>
      </c>
      <c r="F908">
        <f t="shared" si="76"/>
        <v>7.7718610893990087E-3</v>
      </c>
      <c r="G908" s="1">
        <f t="shared" si="72"/>
        <v>1.8069577032852696E-2</v>
      </c>
      <c r="H908">
        <f t="shared" si="73"/>
        <v>1806.9577032852696</v>
      </c>
      <c r="I908">
        <f t="shared" si="74"/>
        <v>8080.9605140255162</v>
      </c>
    </row>
    <row r="909" spans="1:9" x14ac:dyDescent="0.45">
      <c r="A909">
        <v>4.3806949179270305E-3</v>
      </c>
      <c r="B909">
        <f t="shared" si="77"/>
        <v>1.9190487963951713E-5</v>
      </c>
      <c r="E909">
        <f t="shared" si="75"/>
        <v>5.7427789561996707E-5</v>
      </c>
      <c r="F909">
        <f t="shared" si="76"/>
        <v>7.5781125329462285E-3</v>
      </c>
      <c r="G909" s="1">
        <f t="shared" si="72"/>
        <v>1.7619111639099981E-2</v>
      </c>
      <c r="H909">
        <f t="shared" si="73"/>
        <v>1761.9111639099981</v>
      </c>
      <c r="I909">
        <f t="shared" si="74"/>
        <v>7879.5062656370601</v>
      </c>
    </row>
    <row r="910" spans="1:9" x14ac:dyDescent="0.45">
      <c r="A910">
        <v>-1.4251327229430899E-2</v>
      </c>
      <c r="B910">
        <f t="shared" si="77"/>
        <v>2.0310032780031858E-4</v>
      </c>
      <c r="E910">
        <f t="shared" si="75"/>
        <v>5.5515903808346943E-5</v>
      </c>
      <c r="F910">
        <f t="shared" si="76"/>
        <v>7.4508995301471445E-3</v>
      </c>
      <c r="G910" s="1">
        <f t="shared" si="72"/>
        <v>1.7323341407592112E-2</v>
      </c>
      <c r="H910">
        <f t="shared" si="73"/>
        <v>1732.3341407592111</v>
      </c>
      <c r="I910">
        <f t="shared" si="74"/>
        <v>7747.2337969625705</v>
      </c>
    </row>
    <row r="911" spans="1:9" x14ac:dyDescent="0.45">
      <c r="A911">
        <v>-2.9417606128845364E-4</v>
      </c>
      <c r="B911">
        <f t="shared" si="77"/>
        <v>8.6539555035188031E-8</v>
      </c>
      <c r="E911">
        <f t="shared" si="75"/>
        <v>6.2891002718177549E-5</v>
      </c>
      <c r="F911">
        <f t="shared" si="76"/>
        <v>7.9303847774353006E-3</v>
      </c>
      <c r="G911" s="1">
        <f t="shared" si="72"/>
        <v>1.8438144607537076E-2</v>
      </c>
      <c r="H911">
        <f t="shared" si="73"/>
        <v>1843.8144607537076</v>
      </c>
      <c r="I911">
        <f t="shared" si="74"/>
        <v>8245.7889442848173</v>
      </c>
    </row>
    <row r="912" spans="1:9" x14ac:dyDescent="0.45">
      <c r="A912">
        <v>6.8439021561061963E-3</v>
      </c>
      <c r="B912">
        <f t="shared" si="77"/>
        <v>4.6838996722355043E-5</v>
      </c>
      <c r="E912">
        <f t="shared" si="75"/>
        <v>5.9748247179062996E-5</v>
      </c>
      <c r="F912">
        <f t="shared" si="76"/>
        <v>7.7296990354775779E-3</v>
      </c>
      <c r="G912" s="1">
        <f t="shared" si="72"/>
        <v>1.7971550257485369E-2</v>
      </c>
      <c r="H912">
        <f t="shared" si="73"/>
        <v>1797.1550257485369</v>
      </c>
      <c r="I912">
        <f t="shared" si="74"/>
        <v>8037.1216073582273</v>
      </c>
    </row>
    <row r="913" spans="1:9" x14ac:dyDescent="0.45">
      <c r="A913">
        <v>6.9867382990196347E-3</v>
      </c>
      <c r="B913">
        <f t="shared" si="77"/>
        <v>4.8814512058987779E-5</v>
      </c>
      <c r="E913">
        <f t="shared" si="75"/>
        <v>5.9098150247301663E-5</v>
      </c>
      <c r="F913">
        <f t="shared" si="76"/>
        <v>7.6875321298386558E-3</v>
      </c>
      <c r="G913" s="1">
        <f t="shared" si="72"/>
        <v>1.7873512201874876E-2</v>
      </c>
      <c r="H913">
        <f t="shared" si="73"/>
        <v>1787.3512201874876</v>
      </c>
      <c r="I913">
        <f t="shared" si="74"/>
        <v>7993.2776560128332</v>
      </c>
    </row>
    <row r="914" spans="1:9" x14ac:dyDescent="0.45">
      <c r="A914">
        <v>1.7955062503460795E-2</v>
      </c>
      <c r="B914">
        <f t="shared" si="77"/>
        <v>3.2238426950318382E-4</v>
      </c>
      <c r="E914">
        <f t="shared" si="75"/>
        <v>5.8576487630310015E-5</v>
      </c>
      <c r="F914">
        <f t="shared" si="76"/>
        <v>7.653527789869846E-3</v>
      </c>
      <c r="G914" s="1">
        <f t="shared" si="72"/>
        <v>1.7794452111447392E-2</v>
      </c>
      <c r="H914">
        <f t="shared" si="73"/>
        <v>1779.4452111447392</v>
      </c>
      <c r="I914">
        <f t="shared" si="74"/>
        <v>7957.9209087122072</v>
      </c>
    </row>
    <row r="915" spans="1:9" x14ac:dyDescent="0.45">
      <c r="A915">
        <v>-4.2170768210780807E-3</v>
      </c>
      <c r="B915">
        <f t="shared" si="77"/>
        <v>1.778373691487401E-5</v>
      </c>
      <c r="E915">
        <f t="shared" si="75"/>
        <v>7.1765812847752433E-5</v>
      </c>
      <c r="F915">
        <f t="shared" si="76"/>
        <v>8.4714705245165344E-3</v>
      </c>
      <c r="G915" s="1">
        <f t="shared" si="72"/>
        <v>1.9696168969500945E-2</v>
      </c>
      <c r="H915">
        <f t="shared" si="73"/>
        <v>1969.6168969500945</v>
      </c>
      <c r="I915">
        <f t="shared" si="74"/>
        <v>8808.3945424252197</v>
      </c>
    </row>
    <row r="916" spans="1:9" x14ac:dyDescent="0.45">
      <c r="A916">
        <v>8.2263113654335029E-3</v>
      </c>
      <c r="B916">
        <f t="shared" si="77"/>
        <v>6.7672198681060426E-5</v>
      </c>
      <c r="E916">
        <f t="shared" si="75"/>
        <v>6.9060155618815908E-5</v>
      </c>
      <c r="F916">
        <f t="shared" si="76"/>
        <v>8.3102440168033517E-3</v>
      </c>
      <c r="G916" s="1">
        <f t="shared" si="72"/>
        <v>1.9321317339067796E-2</v>
      </c>
      <c r="H916">
        <f t="shared" si="73"/>
        <v>1932.1317339067796</v>
      </c>
      <c r="I916">
        <f t="shared" si="74"/>
        <v>8640.755797000189</v>
      </c>
    </row>
    <row r="917" spans="1:9" x14ac:dyDescent="0.45">
      <c r="A917">
        <v>9.8958707894780673E-4</v>
      </c>
      <c r="B917">
        <f t="shared" si="77"/>
        <v>9.7928258682045266E-7</v>
      </c>
      <c r="E917">
        <f t="shared" si="75"/>
        <v>6.8990754992940103E-5</v>
      </c>
      <c r="F917">
        <f t="shared" si="76"/>
        <v>8.3060673602457676E-3</v>
      </c>
      <c r="G917" s="1">
        <f t="shared" si="72"/>
        <v>1.9311606612571412E-2</v>
      </c>
      <c r="H917">
        <f t="shared" si="73"/>
        <v>1931.1606612571413</v>
      </c>
      <c r="I917">
        <f t="shared" si="74"/>
        <v>8636.4130280888257</v>
      </c>
    </row>
    <row r="918" spans="1:9" x14ac:dyDescent="0.45">
      <c r="A918">
        <v>1.2890131984022446E-2</v>
      </c>
      <c r="B918">
        <f t="shared" si="77"/>
        <v>1.6615550256551844E-4</v>
      </c>
      <c r="E918">
        <f t="shared" si="75"/>
        <v>6.5589910578806406E-5</v>
      </c>
      <c r="F918">
        <f t="shared" si="76"/>
        <v>8.0987598173304538E-3</v>
      </c>
      <c r="G918" s="1">
        <f t="shared" si="72"/>
        <v>1.8829616575293306E-2</v>
      </c>
      <c r="H918">
        <f t="shared" si="73"/>
        <v>1882.9616575293308</v>
      </c>
      <c r="I918">
        <f t="shared" si="74"/>
        <v>8420.8605305225246</v>
      </c>
    </row>
    <row r="919" spans="1:9" x14ac:dyDescent="0.45">
      <c r="A919">
        <v>4.3798536353278905E-3</v>
      </c>
      <c r="B919">
        <f t="shared" si="77"/>
        <v>1.9183117866894937E-5</v>
      </c>
      <c r="E919">
        <f t="shared" si="75"/>
        <v>7.0618189994130584E-5</v>
      </c>
      <c r="F919">
        <f t="shared" si="76"/>
        <v>8.4034629763051014E-3</v>
      </c>
      <c r="G919" s="1">
        <f t="shared" si="72"/>
        <v>1.9538051419909361E-2</v>
      </c>
      <c r="H919">
        <f t="shared" si="73"/>
        <v>1953.8051419909361</v>
      </c>
      <c r="I919">
        <f t="shared" si="74"/>
        <v>8737.6822245607236</v>
      </c>
    </row>
    <row r="920" spans="1:9" x14ac:dyDescent="0.45">
      <c r="A920">
        <v>-3.1041054171510041E-3</v>
      </c>
      <c r="B920">
        <f t="shared" si="77"/>
        <v>9.635470440786209E-6</v>
      </c>
      <c r="E920">
        <f t="shared" si="75"/>
        <v>6.8045904670925429E-5</v>
      </c>
      <c r="F920">
        <f t="shared" si="76"/>
        <v>8.2489941611644645E-3</v>
      </c>
      <c r="G920" s="1">
        <f t="shared" si="72"/>
        <v>1.917891142470738E-2</v>
      </c>
      <c r="H920">
        <f t="shared" si="73"/>
        <v>1917.891142470738</v>
      </c>
      <c r="I920">
        <f t="shared" si="74"/>
        <v>8577.0699360186081</v>
      </c>
    </row>
    <row r="921" spans="1:9" x14ac:dyDescent="0.45">
      <c r="A921">
        <v>2.402193786110729E-2</v>
      </c>
      <c r="B921">
        <f t="shared" si="77"/>
        <v>5.7705349860289986E-4</v>
      </c>
      <c r="E921">
        <f t="shared" si="75"/>
        <v>6.5120657836611044E-5</v>
      </c>
      <c r="F921">
        <f t="shared" si="76"/>
        <v>8.0697371603176173E-3</v>
      </c>
      <c r="G921" s="1">
        <f t="shared" ref="G921:G984" si="78">F921*$H$1</f>
        <v>1.8762138897738461E-2</v>
      </c>
      <c r="H921">
        <f t="shared" ref="H921:H984" si="79">G921*$H$2</f>
        <v>1876.2138897738462</v>
      </c>
      <c r="I921">
        <f t="shared" ref="I921:I984" si="80">H921*SQRT($H$3)</f>
        <v>8390.683595727236</v>
      </c>
    </row>
    <row r="922" spans="1:9" x14ac:dyDescent="0.45">
      <c r="A922">
        <v>-1.3194539860705845E-2</v>
      </c>
      <c r="B922">
        <f t="shared" si="77"/>
        <v>1.7409588213575543E-4</v>
      </c>
      <c r="E922">
        <f t="shared" ref="E922:E985" si="81">(1-$E$1)*SUMPRODUCT($D$2:$D$151,B772:B921)</f>
        <v>9.071720709267739E-5</v>
      </c>
      <c r="F922">
        <f t="shared" ref="F922:F985" si="82">SQRT(E922)</f>
        <v>9.5245581048507121E-3</v>
      </c>
      <c r="G922" s="1">
        <f t="shared" si="78"/>
        <v>2.2144597593777907E-2</v>
      </c>
      <c r="H922">
        <f t="shared" si="79"/>
        <v>2214.4597593777908</v>
      </c>
      <c r="I922">
        <f t="shared" si="80"/>
        <v>9903.3651108131362</v>
      </c>
    </row>
    <row r="923" spans="1:9" x14ac:dyDescent="0.45">
      <c r="A923">
        <v>1.8710215954342857E-2</v>
      </c>
      <c r="B923">
        <f t="shared" si="77"/>
        <v>3.5007218105814601E-4</v>
      </c>
      <c r="E923">
        <f t="shared" si="81"/>
        <v>9.4885957197806298E-5</v>
      </c>
      <c r="F923">
        <f t="shared" si="82"/>
        <v>9.7409423157005862E-3</v>
      </c>
      <c r="G923" s="1">
        <f t="shared" si="78"/>
        <v>2.2647690884003865E-2</v>
      </c>
      <c r="H923">
        <f t="shared" si="79"/>
        <v>2264.7690884003864</v>
      </c>
      <c r="I923">
        <f t="shared" si="80"/>
        <v>10128.355270006989</v>
      </c>
    </row>
    <row r="924" spans="1:9" x14ac:dyDescent="0.45">
      <c r="A924">
        <v>-6.0775164456572384E-3</v>
      </c>
      <c r="B924">
        <f t="shared" si="77"/>
        <v>3.6936206147234191E-5</v>
      </c>
      <c r="E924">
        <f t="shared" si="81"/>
        <v>1.0764489408580949E-4</v>
      </c>
      <c r="F924">
        <f t="shared" si="82"/>
        <v>1.0375205737035265E-2</v>
      </c>
      <c r="G924" s="1">
        <f t="shared" si="78"/>
        <v>2.4122353338606992E-2</v>
      </c>
      <c r="H924">
        <f t="shared" si="79"/>
        <v>2412.235333860699</v>
      </c>
      <c r="I924">
        <f t="shared" si="80"/>
        <v>10787.844368478847</v>
      </c>
    </row>
    <row r="925" spans="1:9" x14ac:dyDescent="0.45">
      <c r="A925">
        <v>4.0894974517868832E-3</v>
      </c>
      <c r="B925">
        <f t="shared" si="77"/>
        <v>1.6723989408171412E-5</v>
      </c>
      <c r="E925">
        <f t="shared" si="81"/>
        <v>1.041079334917252E-4</v>
      </c>
      <c r="F925">
        <f t="shared" si="82"/>
        <v>1.0203329529703781E-2</v>
      </c>
      <c r="G925" s="1">
        <f t="shared" si="78"/>
        <v>2.3722741156561294E-2</v>
      </c>
      <c r="H925">
        <f t="shared" si="79"/>
        <v>2372.2741156561292</v>
      </c>
      <c r="I925">
        <f t="shared" si="80"/>
        <v>10609.132367740607</v>
      </c>
    </row>
    <row r="926" spans="1:9" x14ac:dyDescent="0.45">
      <c r="A926">
        <v>1.1015936252078973E-2</v>
      </c>
      <c r="B926">
        <f t="shared" si="77"/>
        <v>1.2135085150986773E-4</v>
      </c>
      <c r="E926">
        <f t="shared" si="81"/>
        <v>9.973827091827238E-5</v>
      </c>
      <c r="F926">
        <f t="shared" si="82"/>
        <v>9.9869049719256055E-3</v>
      </c>
      <c r="G926" s="1">
        <f t="shared" si="78"/>
        <v>2.3219554059727036E-2</v>
      </c>
      <c r="H926">
        <f t="shared" si="79"/>
        <v>2321.9554059727034</v>
      </c>
      <c r="I926">
        <f t="shared" si="80"/>
        <v>10384.100256956172</v>
      </c>
    </row>
    <row r="927" spans="1:9" x14ac:dyDescent="0.45">
      <c r="A927">
        <v>1.2661757864407264E-2</v>
      </c>
      <c r="B927">
        <f t="shared" si="77"/>
        <v>1.6032011221687919E-4</v>
      </c>
      <c r="E927">
        <f t="shared" si="81"/>
        <v>1.0081498451659549E-4</v>
      </c>
      <c r="F927">
        <f t="shared" si="82"/>
        <v>1.0040666537466299E-2</v>
      </c>
      <c r="G927" s="1">
        <f t="shared" si="78"/>
        <v>2.3344549699609148E-2</v>
      </c>
      <c r="H927">
        <f t="shared" si="79"/>
        <v>2334.4549699609147</v>
      </c>
      <c r="I927">
        <f t="shared" si="80"/>
        <v>10440.00000648967</v>
      </c>
    </row>
    <row r="928" spans="1:9" x14ac:dyDescent="0.45">
      <c r="A928">
        <v>-1.3178123481338844E-2</v>
      </c>
      <c r="B928">
        <f t="shared" si="77"/>
        <v>1.7366293848941421E-4</v>
      </c>
      <c r="E928">
        <f t="shared" si="81"/>
        <v>1.0378734152466094E-4</v>
      </c>
      <c r="F928">
        <f t="shared" si="82"/>
        <v>1.018760725217953E-2</v>
      </c>
      <c r="G928" s="1">
        <f t="shared" si="78"/>
        <v>2.3686186861317411E-2</v>
      </c>
      <c r="H928">
        <f t="shared" si="79"/>
        <v>2368.618686131741</v>
      </c>
      <c r="I928">
        <f t="shared" si="80"/>
        <v>10592.784789933623</v>
      </c>
    </row>
    <row r="929" spans="1:9" x14ac:dyDescent="0.45">
      <c r="A929">
        <v>-2.9399643608485349E-3</v>
      </c>
      <c r="B929">
        <f t="shared" si="77"/>
        <v>8.6433904430595348E-6</v>
      </c>
      <c r="E929">
        <f t="shared" si="81"/>
        <v>1.0727917907925881E-4</v>
      </c>
      <c r="F929">
        <f t="shared" si="82"/>
        <v>1.0357566272018674E-2</v>
      </c>
      <c r="G929" s="1">
        <f t="shared" si="78"/>
        <v>2.4081341582443419E-2</v>
      </c>
      <c r="H929">
        <f t="shared" si="79"/>
        <v>2408.134158244342</v>
      </c>
      <c r="I929">
        <f t="shared" si="80"/>
        <v>10769.503353547168</v>
      </c>
    </row>
    <row r="930" spans="1:9" x14ac:dyDescent="0.45">
      <c r="A930">
        <v>-1.3889075489714742E-2</v>
      </c>
      <c r="B930">
        <f t="shared" si="77"/>
        <v>1.9290641795899479E-4</v>
      </c>
      <c r="E930">
        <f t="shared" si="81"/>
        <v>1.0234737158639585E-4</v>
      </c>
      <c r="F930">
        <f t="shared" si="82"/>
        <v>1.0116687777449488E-2</v>
      </c>
      <c r="G930" s="1">
        <f t="shared" si="78"/>
        <v>2.3521299082570061E-2</v>
      </c>
      <c r="H930">
        <f t="shared" si="79"/>
        <v>2352.1299082570063</v>
      </c>
      <c r="I930">
        <f t="shared" si="80"/>
        <v>10519.044733546019</v>
      </c>
    </row>
    <row r="931" spans="1:9" x14ac:dyDescent="0.45">
      <c r="A931">
        <v>-1.0482926882104948E-2</v>
      </c>
      <c r="B931">
        <f t="shared" si="77"/>
        <v>1.0989175601555857E-4</v>
      </c>
      <c r="E931">
        <f t="shared" si="81"/>
        <v>1.0687523767377668E-4</v>
      </c>
      <c r="F931">
        <f t="shared" si="82"/>
        <v>1.0338048059173292E-2</v>
      </c>
      <c r="G931" s="1">
        <f t="shared" si="78"/>
        <v>2.4035961737577907E-2</v>
      </c>
      <c r="H931">
        <f t="shared" si="79"/>
        <v>2403.5961737577904</v>
      </c>
      <c r="I931">
        <f t="shared" si="80"/>
        <v>10749.208869961632</v>
      </c>
    </row>
    <row r="932" spans="1:9" x14ac:dyDescent="0.45">
      <c r="A932">
        <v>-3.3207925298484042E-3</v>
      </c>
      <c r="B932">
        <f t="shared" si="77"/>
        <v>1.1027663026296964E-5</v>
      </c>
      <c r="E932">
        <f t="shared" si="81"/>
        <v>1.0702508154583694E-4</v>
      </c>
      <c r="F932">
        <f t="shared" si="82"/>
        <v>1.0345292724028496E-2</v>
      </c>
      <c r="G932" s="1">
        <f t="shared" si="78"/>
        <v>2.4052805583366255E-2</v>
      </c>
      <c r="H932">
        <f t="shared" si="79"/>
        <v>2405.2805583366253</v>
      </c>
      <c r="I932">
        <f t="shared" si="80"/>
        <v>10756.741666798685</v>
      </c>
    </row>
    <row r="933" spans="1:9" x14ac:dyDescent="0.45">
      <c r="A933">
        <v>-6.1716491472907364E-3</v>
      </c>
      <c r="B933">
        <f t="shared" si="77"/>
        <v>3.8089253197254471E-5</v>
      </c>
      <c r="E933">
        <f t="shared" si="81"/>
        <v>1.0221815907079887E-4</v>
      </c>
      <c r="F933">
        <f t="shared" si="82"/>
        <v>1.0110299652868795E-2</v>
      </c>
      <c r="G933" s="1">
        <f t="shared" si="78"/>
        <v>2.3506446692919951E-2</v>
      </c>
      <c r="H933">
        <f t="shared" si="79"/>
        <v>2350.6446692919949</v>
      </c>
      <c r="I933">
        <f t="shared" si="80"/>
        <v>10512.402542968826</v>
      </c>
    </row>
    <row r="934" spans="1:9" x14ac:dyDescent="0.45">
      <c r="A934">
        <v>1.3986073099658825E-2</v>
      </c>
      <c r="B934">
        <f t="shared" si="77"/>
        <v>1.956102407490002E-4</v>
      </c>
      <c r="E934">
        <f t="shared" si="81"/>
        <v>9.9008702007658857E-5</v>
      </c>
      <c r="F934">
        <f t="shared" si="82"/>
        <v>9.9503116537955159E-3</v>
      </c>
      <c r="G934" s="1">
        <f t="shared" si="78"/>
        <v>2.3134474595074575E-2</v>
      </c>
      <c r="H934">
        <f t="shared" si="79"/>
        <v>2313.4474595074576</v>
      </c>
      <c r="I934">
        <f t="shared" si="80"/>
        <v>10346.051563665735</v>
      </c>
    </row>
    <row r="935" spans="1:9" x14ac:dyDescent="0.45">
      <c r="A935">
        <v>-5.5511691243737005E-3</v>
      </c>
      <c r="B935">
        <f t="shared" si="77"/>
        <v>3.0815478647399875E-5</v>
      </c>
      <c r="E935">
        <f t="shared" si="81"/>
        <v>1.0383729725381747E-4</v>
      </c>
      <c r="F935">
        <f t="shared" si="82"/>
        <v>1.0190058746337896E-2</v>
      </c>
      <c r="G935" s="1">
        <f t="shared" si="78"/>
        <v>2.3691886585235609E-2</v>
      </c>
      <c r="H935">
        <f t="shared" si="79"/>
        <v>2369.1886585235607</v>
      </c>
      <c r="I935">
        <f t="shared" si="80"/>
        <v>10595.333783960437</v>
      </c>
    </row>
    <row r="936" spans="1:9" x14ac:dyDescent="0.45">
      <c r="A936">
        <v>3.3321157388854772E-3</v>
      </c>
      <c r="B936">
        <f t="shared" si="77"/>
        <v>1.1102995297328309E-5</v>
      </c>
      <c r="E936">
        <f t="shared" si="81"/>
        <v>1.0018619547330693E-4</v>
      </c>
      <c r="F936">
        <f t="shared" si="82"/>
        <v>1.0009305444100851E-2</v>
      </c>
      <c r="G936" s="1">
        <f t="shared" si="78"/>
        <v>2.3271635157534481E-2</v>
      </c>
      <c r="H936">
        <f t="shared" si="79"/>
        <v>2327.1635157534479</v>
      </c>
      <c r="I936">
        <f t="shared" si="80"/>
        <v>10407.391631964225</v>
      </c>
    </row>
    <row r="937" spans="1:9" x14ac:dyDescent="0.45">
      <c r="A937">
        <v>-5.1636561693158001E-5</v>
      </c>
      <c r="B937">
        <f t="shared" si="77"/>
        <v>2.6663345034913123E-9</v>
      </c>
      <c r="E937">
        <f t="shared" si="81"/>
        <v>9.5707001201827412E-5</v>
      </c>
      <c r="F937">
        <f t="shared" si="82"/>
        <v>9.7829955127163078E-3</v>
      </c>
      <c r="G937" s="1">
        <f t="shared" si="78"/>
        <v>2.2745464567065419E-2</v>
      </c>
      <c r="H937">
        <f t="shared" si="79"/>
        <v>2274.5464567065419</v>
      </c>
      <c r="I937">
        <f t="shared" si="80"/>
        <v>10172.080990354221</v>
      </c>
    </row>
    <row r="938" spans="1:9" x14ac:dyDescent="0.45">
      <c r="A938">
        <v>2.0712923287646845E-2</v>
      </c>
      <c r="B938">
        <f t="shared" si="77"/>
        <v>4.2902519111994298E-4</v>
      </c>
      <c r="E938">
        <f t="shared" si="81"/>
        <v>9.0921532784446517E-5</v>
      </c>
      <c r="F938">
        <f t="shared" si="82"/>
        <v>9.5352783275815568E-3</v>
      </c>
      <c r="G938" s="1">
        <f t="shared" si="78"/>
        <v>2.2169522111627121E-2</v>
      </c>
      <c r="H938">
        <f t="shared" si="79"/>
        <v>2216.952211162712</v>
      </c>
      <c r="I938">
        <f t="shared" si="80"/>
        <v>9914.511694056584</v>
      </c>
    </row>
    <row r="939" spans="1:9" x14ac:dyDescent="0.45">
      <c r="A939">
        <v>1.2048531061736867E-4</v>
      </c>
      <c r="B939">
        <f t="shared" si="77"/>
        <v>1.4516710074563811E-8</v>
      </c>
      <c r="E939">
        <f t="shared" si="81"/>
        <v>1.0782513115731147E-4</v>
      </c>
      <c r="F939">
        <f t="shared" si="82"/>
        <v>1.0383888055892718E-2</v>
      </c>
      <c r="G939" s="1">
        <f t="shared" si="78"/>
        <v>2.4142539729950573E-2</v>
      </c>
      <c r="H939">
        <f t="shared" si="79"/>
        <v>2414.2539729950572</v>
      </c>
      <c r="I939">
        <f t="shared" si="80"/>
        <v>10796.871997131779</v>
      </c>
    </row>
    <row r="940" spans="1:9" x14ac:dyDescent="0.45">
      <c r="A940">
        <v>9.5747282102820463E-3</v>
      </c>
      <c r="B940">
        <f t="shared" si="77"/>
        <v>9.1675420300770837E-5</v>
      </c>
      <c r="E940">
        <f t="shared" si="81"/>
        <v>1.0242427733632774E-4</v>
      </c>
      <c r="F940">
        <f t="shared" si="82"/>
        <v>1.0120487998922173E-2</v>
      </c>
      <c r="G940" s="1">
        <f t="shared" si="78"/>
        <v>2.3530134597494055E-2</v>
      </c>
      <c r="H940">
        <f t="shared" si="79"/>
        <v>2353.0134597494057</v>
      </c>
      <c r="I940">
        <f t="shared" si="80"/>
        <v>10522.996095943274</v>
      </c>
    </row>
    <row r="941" spans="1:9" x14ac:dyDescent="0.45">
      <c r="A941">
        <v>-8.0293830251321197E-3</v>
      </c>
      <c r="B941">
        <f t="shared" si="77"/>
        <v>6.4470991764279829E-5</v>
      </c>
      <c r="E941">
        <f t="shared" si="81"/>
        <v>1.0187341074933952E-4</v>
      </c>
      <c r="F941">
        <f t="shared" si="82"/>
        <v>1.0093235890899386E-2</v>
      </c>
      <c r="G941" s="1">
        <f t="shared" si="78"/>
        <v>2.3466773446341075E-2</v>
      </c>
      <c r="H941">
        <f t="shared" si="79"/>
        <v>2346.6773446341076</v>
      </c>
      <c r="I941">
        <f t="shared" si="80"/>
        <v>10494.660127721132</v>
      </c>
    </row>
    <row r="942" spans="1:9" x14ac:dyDescent="0.45">
      <c r="A942">
        <v>-4.1502858039166313E-3</v>
      </c>
      <c r="B942">
        <f t="shared" si="77"/>
        <v>1.7224872254191919E-5</v>
      </c>
      <c r="E942">
        <f t="shared" si="81"/>
        <v>1.0000249029115339E-4</v>
      </c>
      <c r="F942">
        <f t="shared" si="82"/>
        <v>1.0000124513782486E-2</v>
      </c>
      <c r="G942" s="1">
        <f t="shared" si="78"/>
        <v>2.3250289494544281E-2</v>
      </c>
      <c r="H942">
        <f t="shared" si="79"/>
        <v>2325.0289494544281</v>
      </c>
      <c r="I942">
        <f t="shared" si="80"/>
        <v>10397.845561270049</v>
      </c>
    </row>
    <row r="943" spans="1:9" x14ac:dyDescent="0.45">
      <c r="A943">
        <v>3.0367459658009466E-3</v>
      </c>
      <c r="B943">
        <f t="shared" si="77"/>
        <v>9.221826060808324E-6</v>
      </c>
      <c r="E943">
        <f t="shared" si="81"/>
        <v>9.5856115611123077E-5</v>
      </c>
      <c r="F943">
        <f t="shared" si="82"/>
        <v>9.7906136483431449E-3</v>
      </c>
      <c r="G943" s="1">
        <f t="shared" si="78"/>
        <v>2.2763176732397812E-2</v>
      </c>
      <c r="H943">
        <f t="shared" si="79"/>
        <v>2276.317673239781</v>
      </c>
      <c r="I943">
        <f t="shared" si="80"/>
        <v>10180.002111496609</v>
      </c>
    </row>
    <row r="944" spans="1:9" x14ac:dyDescent="0.45">
      <c r="A944">
        <v>1.148553110397188E-2</v>
      </c>
      <c r="B944">
        <f t="shared" si="77"/>
        <v>1.3191742474030551E-4</v>
      </c>
      <c r="E944">
        <f t="shared" si="81"/>
        <v>9.152333001748457E-5</v>
      </c>
      <c r="F944">
        <f t="shared" si="82"/>
        <v>9.5667826366801385E-3</v>
      </c>
      <c r="G944" s="1">
        <f t="shared" si="78"/>
        <v>2.2242769630281323E-2</v>
      </c>
      <c r="H944">
        <f t="shared" si="79"/>
        <v>2224.2769630281323</v>
      </c>
      <c r="I944">
        <f t="shared" si="80"/>
        <v>9947.2689802353816</v>
      </c>
    </row>
    <row r="945" spans="1:9" x14ac:dyDescent="0.45">
      <c r="A945">
        <v>-1.6214426068472676E-2</v>
      </c>
      <c r="B945">
        <f t="shared" si="77"/>
        <v>2.6290761272996626E-4</v>
      </c>
      <c r="E945">
        <f t="shared" si="81"/>
        <v>9.3536893452023282E-5</v>
      </c>
      <c r="F945">
        <f t="shared" si="82"/>
        <v>9.6714473297445647E-3</v>
      </c>
      <c r="G945" s="1">
        <f t="shared" si="78"/>
        <v>2.2486115041656114E-2</v>
      </c>
      <c r="H945">
        <f t="shared" si="79"/>
        <v>2248.6115041656112</v>
      </c>
      <c r="I945">
        <f t="shared" si="80"/>
        <v>10056.096356604718</v>
      </c>
    </row>
    <row r="946" spans="1:9" x14ac:dyDescent="0.45">
      <c r="A946">
        <v>-2.0540937839541584E-4</v>
      </c>
      <c r="B946">
        <f t="shared" si="77"/>
        <v>4.2193012732791129E-8</v>
      </c>
      <c r="E946">
        <f t="shared" si="81"/>
        <v>1.0199996831397464E-4</v>
      </c>
      <c r="F946">
        <f t="shared" si="82"/>
        <v>1.0099503369669948E-2</v>
      </c>
      <c r="G946" s="1">
        <f t="shared" si="78"/>
        <v>2.3481345334482633E-2</v>
      </c>
      <c r="H946">
        <f t="shared" si="79"/>
        <v>2348.1345334482635</v>
      </c>
      <c r="I946">
        <f t="shared" si="80"/>
        <v>10501.176874210141</v>
      </c>
    </row>
    <row r="947" spans="1:9" x14ac:dyDescent="0.45">
      <c r="A947">
        <v>-4.0570739656686783E-3</v>
      </c>
      <c r="B947">
        <f t="shared" si="77"/>
        <v>1.6459849162906576E-5</v>
      </c>
      <c r="E947">
        <f t="shared" si="81"/>
        <v>9.6895857980639036E-5</v>
      </c>
      <c r="F947">
        <f t="shared" si="82"/>
        <v>9.8435693719625423E-3</v>
      </c>
      <c r="G947" s="1">
        <f t="shared" si="78"/>
        <v>2.2886298789812912E-2</v>
      </c>
      <c r="H947">
        <f t="shared" si="79"/>
        <v>2288.6298789812913</v>
      </c>
      <c r="I947">
        <f t="shared" si="80"/>
        <v>10235.06396947857</v>
      </c>
    </row>
    <row r="948" spans="1:9" x14ac:dyDescent="0.45">
      <c r="A948">
        <v>5.6218141253339127E-4</v>
      </c>
      <c r="B948">
        <f t="shared" si="77"/>
        <v>3.1604794059803906E-7</v>
      </c>
      <c r="E948">
        <f t="shared" si="81"/>
        <v>9.2873755301996338E-5</v>
      </c>
      <c r="F948">
        <f t="shared" si="82"/>
        <v>9.6371030554828225E-3</v>
      </c>
      <c r="G948" s="1">
        <f t="shared" si="78"/>
        <v>2.2406264603997562E-2</v>
      </c>
      <c r="H948">
        <f t="shared" si="79"/>
        <v>2240.6264603997561</v>
      </c>
      <c r="I948">
        <f t="shared" si="80"/>
        <v>10020.38615527719</v>
      </c>
    </row>
    <row r="949" spans="1:9" x14ac:dyDescent="0.45">
      <c r="A949">
        <v>1.8475702745490707E-3</v>
      </c>
      <c r="B949">
        <f t="shared" si="77"/>
        <v>3.4135159193973286E-6</v>
      </c>
      <c r="E949">
        <f t="shared" si="81"/>
        <v>8.8242435710522715E-5</v>
      </c>
      <c r="F949">
        <f t="shared" si="82"/>
        <v>9.3937444988951412E-3</v>
      </c>
      <c r="G949" s="1">
        <f t="shared" si="78"/>
        <v>2.1840455959931206E-2</v>
      </c>
      <c r="H949">
        <f t="shared" si="79"/>
        <v>2184.0455959931205</v>
      </c>
      <c r="I949">
        <f t="shared" si="80"/>
        <v>9767.3488371993208</v>
      </c>
    </row>
    <row r="950" spans="1:9" x14ac:dyDescent="0.45">
      <c r="A950">
        <v>8.0209474617731757E-3</v>
      </c>
      <c r="B950">
        <f t="shared" si="77"/>
        <v>6.4335598184525554E-5</v>
      </c>
      <c r="E950">
        <f t="shared" si="81"/>
        <v>8.399904742732668E-5</v>
      </c>
      <c r="F950">
        <f t="shared" si="82"/>
        <v>9.1650994226645834E-3</v>
      </c>
      <c r="G950" s="1">
        <f t="shared" si="78"/>
        <v>2.1308856157695157E-2</v>
      </c>
      <c r="H950">
        <f t="shared" si="79"/>
        <v>2130.8856157695159</v>
      </c>
      <c r="I950">
        <f t="shared" si="80"/>
        <v>9529.6101782742717</v>
      </c>
    </row>
    <row r="951" spans="1:9" x14ac:dyDescent="0.45">
      <c r="A951">
        <v>-1.1865131455124356E-2</v>
      </c>
      <c r="B951">
        <f t="shared" si="77"/>
        <v>1.407813444473814E-4</v>
      </c>
      <c r="E951">
        <f t="shared" si="81"/>
        <v>8.3015073239358253E-5</v>
      </c>
      <c r="F951">
        <f t="shared" si="82"/>
        <v>9.1112607930712991E-3</v>
      </c>
      <c r="G951" s="1">
        <f t="shared" si="78"/>
        <v>2.1183681343890773E-2</v>
      </c>
      <c r="H951">
        <f t="shared" si="79"/>
        <v>2118.3681343890771</v>
      </c>
      <c r="I951">
        <f t="shared" si="80"/>
        <v>9473.630299726774</v>
      </c>
    </row>
    <row r="952" spans="1:9" x14ac:dyDescent="0.45">
      <c r="A952">
        <v>-8.559140951547306E-4</v>
      </c>
      <c r="B952">
        <f t="shared" si="77"/>
        <v>7.3258893828454122E-7</v>
      </c>
      <c r="E952">
        <f t="shared" si="81"/>
        <v>8.5900981655153175E-5</v>
      </c>
      <c r="F952">
        <f t="shared" si="82"/>
        <v>9.2682782465328042E-3</v>
      </c>
      <c r="G952" s="1">
        <f t="shared" si="78"/>
        <v>2.1548746923188773E-2</v>
      </c>
      <c r="H952">
        <f t="shared" si="79"/>
        <v>2154.8746923188774</v>
      </c>
      <c r="I952">
        <f t="shared" si="80"/>
        <v>9636.8925900379072</v>
      </c>
    </row>
    <row r="953" spans="1:9" x14ac:dyDescent="0.45">
      <c r="A953">
        <v>-1.1148836165375542E-2</v>
      </c>
      <c r="B953">
        <f t="shared" si="77"/>
        <v>1.2429654784238561E-4</v>
      </c>
      <c r="E953">
        <f t="shared" si="81"/>
        <v>8.1641700401907275E-5</v>
      </c>
      <c r="F953">
        <f t="shared" si="82"/>
        <v>9.0355796937389293E-3</v>
      </c>
      <c r="G953" s="1">
        <f t="shared" si="78"/>
        <v>2.1007722787943012E-2</v>
      </c>
      <c r="H953">
        <f t="shared" si="79"/>
        <v>2100.7722787943012</v>
      </c>
      <c r="I953">
        <f t="shared" si="80"/>
        <v>9394.9392412623947</v>
      </c>
    </row>
    <row r="954" spans="1:9" x14ac:dyDescent="0.45">
      <c r="A954">
        <v>-3.8403982216550503E-3</v>
      </c>
      <c r="B954">
        <f t="shared" si="77"/>
        <v>1.4748658500891273E-5</v>
      </c>
      <c r="E954">
        <f t="shared" si="81"/>
        <v>8.3772765881555547E-5</v>
      </c>
      <c r="F954">
        <f t="shared" si="82"/>
        <v>9.1527463573266108E-3</v>
      </c>
      <c r="G954" s="1">
        <f t="shared" si="78"/>
        <v>2.128013528078437E-2</v>
      </c>
      <c r="H954">
        <f t="shared" si="79"/>
        <v>2128.013528078437</v>
      </c>
      <c r="I954">
        <f t="shared" si="80"/>
        <v>9516.7658116450857</v>
      </c>
    </row>
    <row r="955" spans="1:9" x14ac:dyDescent="0.45">
      <c r="A955">
        <v>-2.4673454390722327E-4</v>
      </c>
      <c r="B955">
        <f t="shared" si="77"/>
        <v>6.0877935157105487E-8</v>
      </c>
      <c r="E955">
        <f t="shared" si="81"/>
        <v>8.0321047510243805E-5</v>
      </c>
      <c r="F955">
        <f t="shared" si="82"/>
        <v>8.9622010416104715E-3</v>
      </c>
      <c r="G955" s="1">
        <f t="shared" si="78"/>
        <v>2.0837117421744347E-2</v>
      </c>
      <c r="H955">
        <f t="shared" si="79"/>
        <v>2083.7117421744347</v>
      </c>
      <c r="I955">
        <f t="shared" si="80"/>
        <v>9318.6422020331029</v>
      </c>
    </row>
    <row r="956" spans="1:9" x14ac:dyDescent="0.45">
      <c r="A956">
        <v>1.0343478606955614E-2</v>
      </c>
      <c r="B956">
        <f t="shared" si="77"/>
        <v>1.0698754969254845E-4</v>
      </c>
      <c r="E956">
        <f t="shared" si="81"/>
        <v>7.6307622946443778E-5</v>
      </c>
      <c r="F956">
        <f t="shared" si="82"/>
        <v>8.7354234554739112E-3</v>
      </c>
      <c r="G956" s="1">
        <f t="shared" si="78"/>
        <v>2.0309859533976845E-2</v>
      </c>
      <c r="H956">
        <f t="shared" si="79"/>
        <v>2030.9859533976844</v>
      </c>
      <c r="I956">
        <f t="shared" si="80"/>
        <v>9082.8453062888857</v>
      </c>
    </row>
    <row r="957" spans="1:9" x14ac:dyDescent="0.45">
      <c r="A957">
        <v>-1.0688040674722288E-3</v>
      </c>
      <c r="B957">
        <f t="shared" si="77"/>
        <v>1.1423421346451806E-6</v>
      </c>
      <c r="E957">
        <f t="shared" si="81"/>
        <v>7.783941518804498E-5</v>
      </c>
      <c r="F957">
        <f t="shared" si="82"/>
        <v>8.8226648575158387E-3</v>
      </c>
      <c r="G957" s="1">
        <f t="shared" si="78"/>
        <v>2.0512695793724327E-2</v>
      </c>
      <c r="H957">
        <f t="shared" si="79"/>
        <v>2051.2695793724329</v>
      </c>
      <c r="I957">
        <f t="shared" si="80"/>
        <v>9173.5564393083205</v>
      </c>
    </row>
    <row r="958" spans="1:9" x14ac:dyDescent="0.45">
      <c r="A958">
        <v>-2.2335370886139572E-2</v>
      </c>
      <c r="B958">
        <f t="shared" si="77"/>
        <v>4.9886879262141118E-4</v>
      </c>
      <c r="E958">
        <f t="shared" si="81"/>
        <v>7.399885707414285E-5</v>
      </c>
      <c r="F958">
        <f t="shared" si="82"/>
        <v>8.6022588355700418E-3</v>
      </c>
      <c r="G958" s="1">
        <f t="shared" si="78"/>
        <v>2.000025179270035E-2</v>
      </c>
      <c r="H958">
        <f t="shared" si="79"/>
        <v>2000.0251792700351</v>
      </c>
      <c r="I958">
        <f t="shared" si="80"/>
        <v>8944.384515118003</v>
      </c>
    </row>
    <row r="959" spans="1:9" x14ac:dyDescent="0.45">
      <c r="A959">
        <v>-2.5783720047911629E-3</v>
      </c>
      <c r="B959">
        <f t="shared" si="77"/>
        <v>6.6480021950908004E-6</v>
      </c>
      <c r="E959">
        <f t="shared" si="81"/>
        <v>9.5242321320791013E-5</v>
      </c>
      <c r="F959">
        <f t="shared" si="82"/>
        <v>9.7592172493899849E-3</v>
      </c>
      <c r="G959" s="1">
        <f t="shared" si="78"/>
        <v>2.2690180104831717E-2</v>
      </c>
      <c r="H959">
        <f t="shared" si="79"/>
        <v>2269.0180104831716</v>
      </c>
      <c r="I959">
        <f t="shared" si="80"/>
        <v>10147.357027223405</v>
      </c>
    </row>
    <row r="960" spans="1:9" x14ac:dyDescent="0.45">
      <c r="A960">
        <v>-2.0452171156648546E-2</v>
      </c>
      <c r="B960">
        <f t="shared" si="77"/>
        <v>4.1829130502084674E-4</v>
      </c>
      <c r="E960">
        <f t="shared" si="81"/>
        <v>9.0809727450524979E-5</v>
      </c>
      <c r="F960">
        <f t="shared" si="82"/>
        <v>9.529413804139528E-3</v>
      </c>
      <c r="G960" s="1">
        <f t="shared" si="78"/>
        <v>2.2155887094624405E-2</v>
      </c>
      <c r="H960">
        <f t="shared" si="79"/>
        <v>2215.5887094624404</v>
      </c>
      <c r="I960">
        <f t="shared" si="80"/>
        <v>9908.4139290780968</v>
      </c>
    </row>
    <row r="961" spans="1:9" x14ac:dyDescent="0.45">
      <c r="A961">
        <v>4.6718469093320891E-4</v>
      </c>
      <c r="B961">
        <f t="shared" si="77"/>
        <v>2.1826153544235793E-7</v>
      </c>
      <c r="E961">
        <f t="shared" si="81"/>
        <v>1.071823042931483E-4</v>
      </c>
      <c r="F961">
        <f t="shared" si="82"/>
        <v>1.0352888693169086E-2</v>
      </c>
      <c r="G961" s="1">
        <f t="shared" si="78"/>
        <v>2.4070466211618124E-2</v>
      </c>
      <c r="H961">
        <f t="shared" si="79"/>
        <v>2407.0466211618123</v>
      </c>
      <c r="I961">
        <f t="shared" si="80"/>
        <v>10764.639739857992</v>
      </c>
    </row>
    <row r="962" spans="1:9" x14ac:dyDescent="0.45">
      <c r="A962">
        <v>-4.4616740524361376E-3</v>
      </c>
      <c r="B962">
        <f t="shared" si="77"/>
        <v>1.9906535350181905E-5</v>
      </c>
      <c r="E962">
        <f t="shared" si="81"/>
        <v>1.0182375752353253E-4</v>
      </c>
      <c r="F962">
        <f t="shared" si="82"/>
        <v>1.0090775863308655E-2</v>
      </c>
      <c r="G962" s="1">
        <f t="shared" si="78"/>
        <v>2.3461053882192624E-2</v>
      </c>
      <c r="H962">
        <f t="shared" si="79"/>
        <v>2346.1053882192623</v>
      </c>
      <c r="I962">
        <f t="shared" si="80"/>
        <v>10492.102260873609</v>
      </c>
    </row>
    <row r="963" spans="1:9" x14ac:dyDescent="0.45">
      <c r="A963">
        <v>-5.3744543038192205E-3</v>
      </c>
      <c r="B963">
        <f t="shared" ref="B963:B1001" si="83">A963^2</f>
        <v>2.8884759063840944E-5</v>
      </c>
      <c r="E963">
        <f t="shared" si="81"/>
        <v>9.7727752685105115E-5</v>
      </c>
      <c r="F963">
        <f t="shared" si="82"/>
        <v>9.8857348075449165E-3</v>
      </c>
      <c r="G963" s="1">
        <f t="shared" si="78"/>
        <v>2.2984333427541932E-2</v>
      </c>
      <c r="H963">
        <f t="shared" si="79"/>
        <v>2298.4333427541933</v>
      </c>
      <c r="I963">
        <f t="shared" si="80"/>
        <v>10278.9063923009</v>
      </c>
    </row>
    <row r="964" spans="1:9" x14ac:dyDescent="0.45">
      <c r="A964">
        <v>8.0209474617731757E-3</v>
      </c>
      <c r="B964">
        <f t="shared" si="83"/>
        <v>6.4335598184525554E-5</v>
      </c>
      <c r="E964">
        <f t="shared" si="81"/>
        <v>9.4285597633340747E-5</v>
      </c>
      <c r="F964">
        <f t="shared" si="82"/>
        <v>9.7100771177854577E-3</v>
      </c>
      <c r="G964" s="1">
        <f t="shared" si="78"/>
        <v>2.2575929298851192E-2</v>
      </c>
      <c r="H964">
        <f t="shared" si="79"/>
        <v>2257.5929298851192</v>
      </c>
      <c r="I964">
        <f t="shared" si="80"/>
        <v>10096.262513492087</v>
      </c>
    </row>
    <row r="965" spans="1:9" x14ac:dyDescent="0.45">
      <c r="A965">
        <v>1.149442141468171E-2</v>
      </c>
      <c r="B965">
        <f t="shared" si="83"/>
        <v>1.3212172365829349E-4</v>
      </c>
      <c r="E965">
        <f t="shared" si="81"/>
        <v>9.2786999699656094E-5</v>
      </c>
      <c r="F965">
        <f t="shared" si="82"/>
        <v>9.6326008792878004E-3</v>
      </c>
      <c r="G965" s="1">
        <f t="shared" si="78"/>
        <v>2.2395797044344138E-2</v>
      </c>
      <c r="H965">
        <f t="shared" si="79"/>
        <v>2239.579704434414</v>
      </c>
      <c r="I965">
        <f t="shared" si="80"/>
        <v>10015.704920288474</v>
      </c>
    </row>
    <row r="966" spans="1:9" x14ac:dyDescent="0.45">
      <c r="A966">
        <v>-1.0243434189760592E-2</v>
      </c>
      <c r="B966">
        <f t="shared" si="83"/>
        <v>1.0492794399995623E-4</v>
      </c>
      <c r="E966">
        <f t="shared" si="81"/>
        <v>9.4753702776855664E-5</v>
      </c>
      <c r="F966">
        <f t="shared" si="82"/>
        <v>9.7341513639790742E-3</v>
      </c>
      <c r="G966" s="1">
        <f t="shared" si="78"/>
        <v>2.2631901921251349E-2</v>
      </c>
      <c r="H966">
        <f t="shared" si="79"/>
        <v>2263.1901921251347</v>
      </c>
      <c r="I966">
        <f t="shared" si="80"/>
        <v>10121.294231205222</v>
      </c>
    </row>
    <row r="967" spans="1:9" x14ac:dyDescent="0.45">
      <c r="A967">
        <v>2.092406248266343E-4</v>
      </c>
      <c r="B967">
        <f t="shared" si="83"/>
        <v>4.3781639077840331E-8</v>
      </c>
      <c r="E967">
        <f t="shared" si="81"/>
        <v>9.5261953989804506E-5</v>
      </c>
      <c r="F967">
        <f t="shared" si="82"/>
        <v>9.7602230502076386E-3</v>
      </c>
      <c r="G967" s="1">
        <f t="shared" si="78"/>
        <v>2.2692518591732762E-2</v>
      </c>
      <c r="H967">
        <f t="shared" si="79"/>
        <v>2269.251859173276</v>
      </c>
      <c r="I967">
        <f t="shared" si="80"/>
        <v>10148.402830358451</v>
      </c>
    </row>
    <row r="968" spans="1:9" x14ac:dyDescent="0.45">
      <c r="A968">
        <v>2.0157676772214472E-2</v>
      </c>
      <c r="B968">
        <f t="shared" si="83"/>
        <v>4.0633193285307485E-4</v>
      </c>
      <c r="E968">
        <f t="shared" si="81"/>
        <v>9.0494741568806122E-5</v>
      </c>
      <c r="F968">
        <f t="shared" si="82"/>
        <v>9.5128724141978344E-3</v>
      </c>
      <c r="G968" s="1">
        <f t="shared" si="78"/>
        <v>2.2117428363009967E-2</v>
      </c>
      <c r="H968">
        <f t="shared" si="79"/>
        <v>2211.7428363009967</v>
      </c>
      <c r="I968">
        <f t="shared" si="80"/>
        <v>9891.2146614344365</v>
      </c>
    </row>
    <row r="969" spans="1:9" x14ac:dyDescent="0.45">
      <c r="A969">
        <v>-1.0568123798293527E-2</v>
      </c>
      <c r="B969">
        <f t="shared" si="83"/>
        <v>1.1168524061605802E-4</v>
      </c>
      <c r="E969">
        <f t="shared" si="81"/>
        <v>1.0628622406001279E-4</v>
      </c>
      <c r="F969">
        <f t="shared" si="82"/>
        <v>1.0309521039311806E-2</v>
      </c>
      <c r="G969" s="1">
        <f t="shared" si="78"/>
        <v>2.3969636416399952E-2</v>
      </c>
      <c r="H969">
        <f t="shared" si="79"/>
        <v>2396.9636416399953</v>
      </c>
      <c r="I969">
        <f t="shared" si="80"/>
        <v>10719.547284604951</v>
      </c>
    </row>
    <row r="970" spans="1:9" x14ac:dyDescent="0.45">
      <c r="A970">
        <v>1.0761300472950097E-2</v>
      </c>
      <c r="B970">
        <f t="shared" si="83"/>
        <v>1.1580558786911598E-4</v>
      </c>
      <c r="E970">
        <f t="shared" si="81"/>
        <v>1.0655403871180843E-4</v>
      </c>
      <c r="F970">
        <f t="shared" si="82"/>
        <v>1.032250157238101E-2</v>
      </c>
      <c r="G970" s="1">
        <f t="shared" si="78"/>
        <v>2.399981615578585E-2</v>
      </c>
      <c r="H970">
        <f t="shared" si="79"/>
        <v>2399.9816155785848</v>
      </c>
      <c r="I970">
        <f t="shared" si="80"/>
        <v>10733.044074366968</v>
      </c>
    </row>
    <row r="971" spans="1:9" x14ac:dyDescent="0.45">
      <c r="A971">
        <v>6.3419065554626286E-3</v>
      </c>
      <c r="B971">
        <f t="shared" si="83"/>
        <v>4.0219778758219859E-5</v>
      </c>
      <c r="E971">
        <f t="shared" si="81"/>
        <v>1.0701393992882829E-4</v>
      </c>
      <c r="F971">
        <f t="shared" si="82"/>
        <v>1.0344754222736676E-2</v>
      </c>
      <c r="G971" s="1">
        <f t="shared" si="78"/>
        <v>2.4051553567862774E-2</v>
      </c>
      <c r="H971">
        <f t="shared" si="79"/>
        <v>2405.1553567862775</v>
      </c>
      <c r="I971">
        <f t="shared" si="80"/>
        <v>10756.181748443754</v>
      </c>
    </row>
    <row r="972" spans="1:9" x14ac:dyDescent="0.45">
      <c r="A972">
        <v>1.2289774531382136E-3</v>
      </c>
      <c r="B972">
        <f t="shared" si="83"/>
        <v>1.51038558032209E-6</v>
      </c>
      <c r="E972">
        <f t="shared" si="81"/>
        <v>1.0367367519989072E-4</v>
      </c>
      <c r="F972">
        <f t="shared" si="82"/>
        <v>1.0182027067332454E-2</v>
      </c>
      <c r="G972" s="1">
        <f t="shared" si="78"/>
        <v>2.3673212931547956E-2</v>
      </c>
      <c r="H972">
        <f t="shared" si="79"/>
        <v>2367.3212931547955</v>
      </c>
      <c r="I972">
        <f t="shared" si="80"/>
        <v>10586.982672153661</v>
      </c>
    </row>
    <row r="973" spans="1:9" x14ac:dyDescent="0.45">
      <c r="A973">
        <v>7.2449097388016526E-3</v>
      </c>
      <c r="B973">
        <f t="shared" si="83"/>
        <v>5.2488717123383031E-5</v>
      </c>
      <c r="E973">
        <f t="shared" si="81"/>
        <v>9.856440194031938E-5</v>
      </c>
      <c r="F973">
        <f t="shared" si="82"/>
        <v>9.9279606133545559E-3</v>
      </c>
      <c r="G973" s="1">
        <f t="shared" si="78"/>
        <v>2.3082508426049343E-2</v>
      </c>
      <c r="H973">
        <f t="shared" si="79"/>
        <v>2308.2508426049344</v>
      </c>
      <c r="I973">
        <f t="shared" si="80"/>
        <v>10322.811586371603</v>
      </c>
    </row>
    <row r="974" spans="1:9" x14ac:dyDescent="0.45">
      <c r="A974">
        <v>4.9384198064217344E-3</v>
      </c>
      <c r="B974">
        <f t="shared" si="83"/>
        <v>2.438799018445848E-5</v>
      </c>
      <c r="E974">
        <f t="shared" si="81"/>
        <v>9.6260318301827458E-5</v>
      </c>
      <c r="F974">
        <f t="shared" si="82"/>
        <v>9.8112342904360123E-3</v>
      </c>
      <c r="G974" s="1">
        <f t="shared" si="78"/>
        <v>2.2811119725263729E-2</v>
      </c>
      <c r="H974">
        <f t="shared" si="79"/>
        <v>2281.1119725263729</v>
      </c>
      <c r="I974">
        <f t="shared" si="80"/>
        <v>10201.442869715205</v>
      </c>
    </row>
    <row r="975" spans="1:9" x14ac:dyDescent="0.45">
      <c r="A975">
        <v>-1.2544956007332075E-2</v>
      </c>
      <c r="B975">
        <f t="shared" si="83"/>
        <v>1.5737592122589712E-4</v>
      </c>
      <c r="E975">
        <f t="shared" si="81"/>
        <v>9.2665584722021854E-5</v>
      </c>
      <c r="F975">
        <f t="shared" si="82"/>
        <v>9.6262965216131723E-3</v>
      </c>
      <c r="G975" s="1">
        <f t="shared" si="78"/>
        <v>2.2381139412750627E-2</v>
      </c>
      <c r="H975">
        <f t="shared" si="79"/>
        <v>2238.1139412750626</v>
      </c>
      <c r="I975">
        <f t="shared" si="80"/>
        <v>10009.149828162026</v>
      </c>
    </row>
    <row r="976" spans="1:9" x14ac:dyDescent="0.45">
      <c r="A976">
        <v>-1.4379202184500173E-2</v>
      </c>
      <c r="B976">
        <f t="shared" si="83"/>
        <v>2.0676145546273455E-4</v>
      </c>
      <c r="E976">
        <f t="shared" si="81"/>
        <v>9.5901101452035794E-5</v>
      </c>
      <c r="F976">
        <f t="shared" si="82"/>
        <v>9.7929107752514413E-3</v>
      </c>
      <c r="G976" s="1">
        <f t="shared" si="78"/>
        <v>2.2768517552459604E-2</v>
      </c>
      <c r="H976">
        <f t="shared" si="79"/>
        <v>2276.8517552459602</v>
      </c>
      <c r="I976">
        <f t="shared" si="80"/>
        <v>10182.390598839362</v>
      </c>
    </row>
    <row r="977" spans="1:9" x14ac:dyDescent="0.45">
      <c r="A977">
        <v>4.738035386253614E-3</v>
      </c>
      <c r="B977">
        <f t="shared" si="83"/>
        <v>2.2448979321391433E-5</v>
      </c>
      <c r="E977">
        <f t="shared" si="81"/>
        <v>1.0144392557790785E-4</v>
      </c>
      <c r="F977">
        <f t="shared" si="82"/>
        <v>1.0071937528495093E-2</v>
      </c>
      <c r="G977" s="1">
        <f t="shared" si="78"/>
        <v>2.3417254753751091E-2</v>
      </c>
      <c r="H977">
        <f t="shared" si="79"/>
        <v>2341.725475375109</v>
      </c>
      <c r="I977">
        <f t="shared" si="80"/>
        <v>10472.514695163507</v>
      </c>
    </row>
    <row r="978" spans="1:9" x14ac:dyDescent="0.45">
      <c r="A978">
        <v>-5.2853920351481065E-3</v>
      </c>
      <c r="B978">
        <f t="shared" si="83"/>
        <v>2.7935368965207043E-5</v>
      </c>
      <c r="E978">
        <f t="shared" si="81"/>
        <v>9.7493604495529218E-5</v>
      </c>
      <c r="F978">
        <f t="shared" si="82"/>
        <v>9.8738849747973673E-3</v>
      </c>
      <c r="G978" s="1">
        <f t="shared" si="78"/>
        <v>2.2956782566403881E-2</v>
      </c>
      <c r="H978">
        <f t="shared" si="79"/>
        <v>2295.6782566403881</v>
      </c>
      <c r="I978">
        <f t="shared" si="80"/>
        <v>10266.585272632232</v>
      </c>
    </row>
    <row r="979" spans="1:9" x14ac:dyDescent="0.45">
      <c r="A979">
        <v>4.1978637455031276E-3</v>
      </c>
      <c r="B979">
        <f t="shared" si="83"/>
        <v>1.7622060025809547E-5</v>
      </c>
      <c r="E979">
        <f t="shared" si="81"/>
        <v>9.4015692594860519E-5</v>
      </c>
      <c r="F979">
        <f t="shared" si="82"/>
        <v>9.6961689648469157E-3</v>
      </c>
      <c r="G979" s="1">
        <f t="shared" si="78"/>
        <v>2.2543592843269081E-2</v>
      </c>
      <c r="H979">
        <f t="shared" si="79"/>
        <v>2254.359284326908</v>
      </c>
      <c r="I979">
        <f t="shared" si="80"/>
        <v>10081.801210925485</v>
      </c>
    </row>
    <row r="980" spans="1:9" x14ac:dyDescent="0.45">
      <c r="A980">
        <v>1.0624444257700816E-2</v>
      </c>
      <c r="B980">
        <f t="shared" si="83"/>
        <v>1.1287881578499184E-4</v>
      </c>
      <c r="E980">
        <f t="shared" si="81"/>
        <v>9.0195738256690318E-5</v>
      </c>
      <c r="F980">
        <f t="shared" si="82"/>
        <v>9.4971436893778911E-3</v>
      </c>
      <c r="G980" s="1">
        <f t="shared" si="78"/>
        <v>2.2080859077803598E-2</v>
      </c>
      <c r="H980">
        <f t="shared" si="79"/>
        <v>2208.0859077803598</v>
      </c>
      <c r="I980">
        <f t="shared" si="80"/>
        <v>9874.8603799124321</v>
      </c>
    </row>
    <row r="981" spans="1:9" x14ac:dyDescent="0.45">
      <c r="A981">
        <v>-1.0655435289663728E-2</v>
      </c>
      <c r="B981">
        <f t="shared" si="83"/>
        <v>1.1353830121221115E-4</v>
      </c>
      <c r="E981">
        <f t="shared" si="81"/>
        <v>9.1326895079130835E-5</v>
      </c>
      <c r="F981">
        <f t="shared" si="82"/>
        <v>9.5565106120974325E-3</v>
      </c>
      <c r="G981" s="1">
        <f t="shared" si="78"/>
        <v>2.2218887173126534E-2</v>
      </c>
      <c r="H981">
        <f t="shared" si="79"/>
        <v>2221.8887173126532</v>
      </c>
      <c r="I981">
        <f t="shared" si="80"/>
        <v>9936.5884207018134</v>
      </c>
    </row>
    <row r="982" spans="1:9" x14ac:dyDescent="0.45">
      <c r="A982">
        <v>-2.4485416361130774E-2</v>
      </c>
      <c r="B982">
        <f t="shared" si="83"/>
        <v>5.9953561437793058E-4</v>
      </c>
      <c r="E982">
        <f t="shared" si="81"/>
        <v>9.2436360322280091E-5</v>
      </c>
      <c r="F982">
        <f t="shared" si="82"/>
        <v>9.6143829922819331E-3</v>
      </c>
      <c r="G982" s="1">
        <f t="shared" si="78"/>
        <v>2.2353440457055496E-2</v>
      </c>
      <c r="H982">
        <f t="shared" si="79"/>
        <v>2235.3440457055494</v>
      </c>
      <c r="I982">
        <f t="shared" si="80"/>
        <v>9996.7624785940116</v>
      </c>
    </row>
    <row r="983" spans="1:9" x14ac:dyDescent="0.45">
      <c r="A983">
        <v>6.900086191308219E-3</v>
      </c>
      <c r="B983">
        <f t="shared" si="83"/>
        <v>4.7611189447482362E-5</v>
      </c>
      <c r="E983">
        <f t="shared" si="81"/>
        <v>1.1778836122626779E-4</v>
      </c>
      <c r="F983">
        <f t="shared" si="82"/>
        <v>1.0853034655167548E-2</v>
      </c>
      <c r="G983" s="1">
        <f t="shared" si="78"/>
        <v>2.5233305573264551E-2</v>
      </c>
      <c r="H983">
        <f t="shared" si="79"/>
        <v>2523.3305573264552</v>
      </c>
      <c r="I983">
        <f t="shared" si="80"/>
        <v>11284.677311768768</v>
      </c>
    </row>
    <row r="984" spans="1:9" x14ac:dyDescent="0.45">
      <c r="A984">
        <v>-1.4474153431365266E-3</v>
      </c>
      <c r="B984">
        <f t="shared" si="83"/>
        <v>2.095011175547029E-6</v>
      </c>
      <c r="E984">
        <f t="shared" si="81"/>
        <v>1.1426789615270042E-4</v>
      </c>
      <c r="F984">
        <f t="shared" si="82"/>
        <v>1.0689616277149542E-2</v>
      </c>
      <c r="G984" s="1">
        <f t="shared" si="78"/>
        <v>2.4853357844372686E-2</v>
      </c>
      <c r="H984">
        <f t="shared" si="79"/>
        <v>2485.3357844372686</v>
      </c>
      <c r="I984">
        <f t="shared" si="80"/>
        <v>11114.759521828993</v>
      </c>
    </row>
    <row r="985" spans="1:9" x14ac:dyDescent="0.45">
      <c r="A985">
        <v>-7.0150804276636336E-3</v>
      </c>
      <c r="B985">
        <f t="shared" si="83"/>
        <v>4.9211353406589387E-5</v>
      </c>
      <c r="E985">
        <f t="shared" si="81"/>
        <v>1.0865845239490969E-4</v>
      </c>
      <c r="F985">
        <f t="shared" si="82"/>
        <v>1.0423936511458121E-2</v>
      </c>
      <c r="G985" s="1">
        <f t="shared" ref="G985:G1001" si="84">F985*$H$1</f>
        <v>2.4235652389140133E-2</v>
      </c>
      <c r="H985">
        <f t="shared" ref="H985:H1001" si="85">G985*$H$2</f>
        <v>2423.5652389140132</v>
      </c>
      <c r="I985">
        <f t="shared" ref="I985:I1001" si="86">H985*SQRT($H$3)</f>
        <v>10838.513244234504</v>
      </c>
    </row>
    <row r="986" spans="1:9" x14ac:dyDescent="0.45">
      <c r="A986">
        <v>8.3394979810691439E-3</v>
      </c>
      <c r="B986">
        <f t="shared" si="83"/>
        <v>6.9547226576256323E-5</v>
      </c>
      <c r="E986">
        <f t="shared" ref="E986:E1001" si="87">(1-$E$1)*SUMPRODUCT($D$2:$D$151,B836:B985)</f>
        <v>1.0568084754209E-4</v>
      </c>
      <c r="F986">
        <f t="shared" ref="F986:F1001" si="88">SQRT(E986)</f>
        <v>1.0280119043186708E-2</v>
      </c>
      <c r="G986" s="1">
        <f t="shared" si="84"/>
        <v>2.3901276775409101E-2</v>
      </c>
      <c r="H986">
        <f t="shared" si="85"/>
        <v>2390.1276775409101</v>
      </c>
      <c r="I986">
        <f t="shared" si="86"/>
        <v>10688.975923770346</v>
      </c>
    </row>
    <row r="987" spans="1:9" x14ac:dyDescent="0.45">
      <c r="A987">
        <v>-1.0244730219710618E-2</v>
      </c>
      <c r="B987">
        <f t="shared" si="83"/>
        <v>1.0495449727465197E-4</v>
      </c>
      <c r="E987">
        <f t="shared" si="87"/>
        <v>1.0387409420530656E-4</v>
      </c>
      <c r="F987">
        <f t="shared" si="88"/>
        <v>1.0191864118271327E-2</v>
      </c>
      <c r="G987" s="1">
        <f t="shared" si="84"/>
        <v>2.3696084074980837E-2</v>
      </c>
      <c r="H987">
        <f t="shared" si="85"/>
        <v>2369.6084074980836</v>
      </c>
      <c r="I987">
        <f t="shared" si="86"/>
        <v>10597.210958441476</v>
      </c>
    </row>
    <row r="988" spans="1:9" x14ac:dyDescent="0.45">
      <c r="A988">
        <v>1.0948838280455675E-2</v>
      </c>
      <c r="B988">
        <f t="shared" si="83"/>
        <v>1.1987705969157158E-4</v>
      </c>
      <c r="E988">
        <f t="shared" si="87"/>
        <v>1.0392807736184788E-4</v>
      </c>
      <c r="F988">
        <f t="shared" si="88"/>
        <v>1.0194512119853892E-2</v>
      </c>
      <c r="G988" s="1">
        <f t="shared" si="84"/>
        <v>2.3702240678660301E-2</v>
      </c>
      <c r="H988">
        <f t="shared" si="85"/>
        <v>2370.2240678660301</v>
      </c>
      <c r="I988">
        <f t="shared" si="86"/>
        <v>10599.964275309037</v>
      </c>
    </row>
    <row r="989" spans="1:9" x14ac:dyDescent="0.45">
      <c r="A989">
        <v>-3.4674712878768332E-3</v>
      </c>
      <c r="B989">
        <f t="shared" si="83"/>
        <v>1.2023357132250225E-5</v>
      </c>
      <c r="E989">
        <f t="shared" si="87"/>
        <v>1.0472197332849459E-4</v>
      </c>
      <c r="F989">
        <f t="shared" si="88"/>
        <v>1.0233375461131806E-2</v>
      </c>
      <c r="G989" s="1">
        <f t="shared" si="84"/>
        <v>2.3792597947131452E-2</v>
      </c>
      <c r="H989">
        <f t="shared" si="85"/>
        <v>2379.2597947131453</v>
      </c>
      <c r="I989">
        <f t="shared" si="86"/>
        <v>10640.373274221576</v>
      </c>
    </row>
    <row r="990" spans="1:9" x14ac:dyDescent="0.45">
      <c r="A990">
        <v>2.2263861865212675E-3</v>
      </c>
      <c r="B990">
        <f t="shared" si="83"/>
        <v>4.956795451532712E-6</v>
      </c>
      <c r="E990">
        <f t="shared" si="87"/>
        <v>1.000864661676799E-4</v>
      </c>
      <c r="F990">
        <f t="shared" si="88"/>
        <v>1.0004322374238043E-2</v>
      </c>
      <c r="G990" s="1">
        <f t="shared" si="84"/>
        <v>2.3260049520103451E-2</v>
      </c>
      <c r="H990">
        <f t="shared" si="85"/>
        <v>2326.0049520103453</v>
      </c>
      <c r="I990">
        <f t="shared" si="86"/>
        <v>10402.210377392537</v>
      </c>
    </row>
    <row r="991" spans="1:9" x14ac:dyDescent="0.45">
      <c r="A991">
        <v>-3.5374114304431714E-3</v>
      </c>
      <c r="B991">
        <f t="shared" si="83"/>
        <v>1.2513279628230004E-5</v>
      </c>
      <c r="E991">
        <f t="shared" si="87"/>
        <v>9.53299551305955E-5</v>
      </c>
      <c r="F991">
        <f t="shared" si="88"/>
        <v>9.7637060141421463E-3</v>
      </c>
      <c r="G991" s="1">
        <f t="shared" si="84"/>
        <v>2.2700616482880492E-2</v>
      </c>
      <c r="H991">
        <f t="shared" si="85"/>
        <v>2270.0616482880491</v>
      </c>
      <c r="I991">
        <f t="shared" si="86"/>
        <v>10152.024317374595</v>
      </c>
    </row>
    <row r="992" spans="1:9" x14ac:dyDescent="0.45">
      <c r="A992">
        <v>-4.4785792852053419E-3</v>
      </c>
      <c r="B992">
        <f t="shared" si="83"/>
        <v>2.0057672413870391E-5</v>
      </c>
      <c r="E992">
        <f t="shared" si="87"/>
        <v>9.1188117566703248E-5</v>
      </c>
      <c r="F992">
        <f t="shared" si="88"/>
        <v>9.5492469633318856E-3</v>
      </c>
      <c r="G992" s="1">
        <f t="shared" si="84"/>
        <v>2.2201999189746635E-2</v>
      </c>
      <c r="H992">
        <f t="shared" si="85"/>
        <v>2220.1999189746634</v>
      </c>
      <c r="I992">
        <f t="shared" si="86"/>
        <v>9929.0358849337463</v>
      </c>
    </row>
    <row r="993" spans="1:9" x14ac:dyDescent="0.45">
      <c r="A993">
        <v>-8.0632162280380726E-3</v>
      </c>
      <c r="B993">
        <f t="shared" si="83"/>
        <v>6.5015455940096523E-5</v>
      </c>
      <c r="E993">
        <f t="shared" si="87"/>
        <v>8.7631455436480618E-5</v>
      </c>
      <c r="F993">
        <f t="shared" si="88"/>
        <v>9.3611674184623257E-3</v>
      </c>
      <c r="G993" s="1">
        <f t="shared" si="84"/>
        <v>2.1764714247924907E-2</v>
      </c>
      <c r="H993">
        <f t="shared" si="85"/>
        <v>2176.4714247924908</v>
      </c>
      <c r="I993">
        <f t="shared" si="86"/>
        <v>9733.4761138436606</v>
      </c>
    </row>
    <row r="994" spans="1:9" x14ac:dyDescent="0.45">
      <c r="A994">
        <v>8.7730313680367544E-3</v>
      </c>
      <c r="B994">
        <f t="shared" si="83"/>
        <v>7.6966079384556852E-5</v>
      </c>
      <c r="E994">
        <f t="shared" si="87"/>
        <v>8.6500562391741685E-5</v>
      </c>
      <c r="F994">
        <f t="shared" si="88"/>
        <v>9.3005678531873359E-3</v>
      </c>
      <c r="G994" s="1">
        <f t="shared" si="84"/>
        <v>2.1623820258660557E-2</v>
      </c>
      <c r="H994">
        <f t="shared" si="85"/>
        <v>2162.3820258660558</v>
      </c>
      <c r="I994">
        <f t="shared" si="86"/>
        <v>9670.4664063204182</v>
      </c>
    </row>
    <row r="995" spans="1:9" x14ac:dyDescent="0.45">
      <c r="A995">
        <v>-2.3808388505131006E-2</v>
      </c>
      <c r="B995">
        <f t="shared" si="83"/>
        <v>5.6683936321125423E-4</v>
      </c>
      <c r="E995">
        <f t="shared" si="87"/>
        <v>8.6022496019427054E-5</v>
      </c>
      <c r="F995">
        <f t="shared" si="88"/>
        <v>9.2748313202681513E-3</v>
      </c>
      <c r="G995" s="1">
        <f t="shared" si="84"/>
        <v>2.1563982819623455E-2</v>
      </c>
      <c r="H995">
        <f t="shared" si="85"/>
        <v>2156.3982819623457</v>
      </c>
      <c r="I995">
        <f t="shared" si="86"/>
        <v>9643.7062900631281</v>
      </c>
    </row>
    <row r="996" spans="1:9" x14ac:dyDescent="0.45">
      <c r="A996">
        <v>4.8599304136587307E-3</v>
      </c>
      <c r="B996">
        <f t="shared" si="83"/>
        <v>2.3618923625605123E-5</v>
      </c>
      <c r="E996">
        <f t="shared" si="87"/>
        <v>1.1005205092112449E-4</v>
      </c>
      <c r="F996">
        <f t="shared" si="88"/>
        <v>1.0490569618525226E-2</v>
      </c>
      <c r="G996" s="1">
        <f t="shared" si="84"/>
        <v>2.4390574363071151E-2</v>
      </c>
      <c r="H996">
        <f t="shared" si="85"/>
        <v>2439.057436307115</v>
      </c>
      <c r="I996">
        <f t="shared" si="86"/>
        <v>10907.796457218146</v>
      </c>
    </row>
    <row r="997" spans="1:9" x14ac:dyDescent="0.45">
      <c r="A997">
        <v>5.6984390539582819E-4</v>
      </c>
      <c r="B997">
        <f t="shared" si="83"/>
        <v>3.2472207651676959E-7</v>
      </c>
      <c r="E997">
        <f t="shared" si="87"/>
        <v>1.0572953190340669E-4</v>
      </c>
      <c r="F997">
        <f t="shared" si="88"/>
        <v>1.0282486659529721E-2</v>
      </c>
      <c r="G997" s="1">
        <f t="shared" si="84"/>
        <v>2.3906781483406605E-2</v>
      </c>
      <c r="H997">
        <f t="shared" si="85"/>
        <v>2390.6781483406603</v>
      </c>
      <c r="I997">
        <f t="shared" si="86"/>
        <v>10691.437704026086</v>
      </c>
    </row>
    <row r="998" spans="1:9" x14ac:dyDescent="0.45">
      <c r="A998">
        <v>9.3912376541993581E-3</v>
      </c>
      <c r="B998">
        <f t="shared" si="83"/>
        <v>8.8195344677651863E-5</v>
      </c>
      <c r="E998">
        <f t="shared" si="87"/>
        <v>1.0045925490589695E-4</v>
      </c>
      <c r="F998">
        <f t="shared" si="88"/>
        <v>1.0022936441277922E-2</v>
      </c>
      <c r="G998" s="1">
        <f t="shared" si="84"/>
        <v>2.3303327225971171E-2</v>
      </c>
      <c r="H998">
        <f t="shared" si="85"/>
        <v>2330.332722597117</v>
      </c>
      <c r="I998">
        <f t="shared" si="86"/>
        <v>10421.564755838628</v>
      </c>
    </row>
    <row r="999" spans="1:9" x14ac:dyDescent="0.45">
      <c r="A999">
        <v>5.6945395954244304E-3</v>
      </c>
      <c r="B999">
        <f t="shared" si="83"/>
        <v>3.2427781203856635E-5</v>
      </c>
      <c r="E999">
        <f t="shared" si="87"/>
        <v>9.9838542602389467E-5</v>
      </c>
      <c r="F999">
        <f t="shared" si="88"/>
        <v>9.9919238689248156E-3</v>
      </c>
      <c r="G999" s="1">
        <f t="shared" si="84"/>
        <v>2.3231222995250198E-2</v>
      </c>
      <c r="H999">
        <f t="shared" si="85"/>
        <v>2323.1222995250196</v>
      </c>
      <c r="I999">
        <f t="shared" si="86"/>
        <v>10389.318763567142</v>
      </c>
    </row>
    <row r="1000" spans="1:9" x14ac:dyDescent="0.45">
      <c r="A1000">
        <v>-1.4814418136666063E-3</v>
      </c>
      <c r="B1000">
        <f t="shared" si="83"/>
        <v>2.1946698472798041E-6</v>
      </c>
      <c r="E1000">
        <f t="shared" si="87"/>
        <v>9.6467999313328034E-5</v>
      </c>
      <c r="F1000">
        <f t="shared" si="88"/>
        <v>9.821812425073493E-3</v>
      </c>
      <c r="G1000" s="1">
        <f t="shared" si="84"/>
        <v>2.2835713888295871E-2</v>
      </c>
      <c r="H1000">
        <f t="shared" si="85"/>
        <v>2283.5713888295872</v>
      </c>
      <c r="I1000">
        <f t="shared" si="86"/>
        <v>10212.441713793123</v>
      </c>
    </row>
    <row r="1001" spans="1:9" x14ac:dyDescent="0.45">
      <c r="A1001">
        <v>-8.2005726653733291E-3</v>
      </c>
      <c r="B1001">
        <f t="shared" si="83"/>
        <v>6.7249392040068221E-5</v>
      </c>
      <c r="E1001">
        <f t="shared" si="87"/>
        <v>9.1753681811734919E-5</v>
      </c>
      <c r="F1001">
        <f t="shared" si="88"/>
        <v>9.5788142174141229E-3</v>
      </c>
      <c r="G1001" s="1">
        <f t="shared" si="84"/>
        <v>2.2270743055487839E-2</v>
      </c>
      <c r="H1001">
        <f t="shared" si="85"/>
        <v>2227.0743055487837</v>
      </c>
      <c r="I1001">
        <f t="shared" si="86"/>
        <v>9959.7790763004359</v>
      </c>
    </row>
    <row r="1003" spans="1:9" x14ac:dyDescent="0.45">
      <c r="A1003">
        <f>AVERAGE(A2:A1001)</f>
        <v>-1.1633421763690421E-4</v>
      </c>
    </row>
    <row r="1004" spans="1:9" x14ac:dyDescent="0.45">
      <c r="A1004">
        <f>VAR(A2:A1001)</f>
        <v>9.819657960037241E-5</v>
      </c>
    </row>
    <row r="1005" spans="1:9" x14ac:dyDescent="0.45">
      <c r="A1005">
        <f>STDEV(A2:A1001)</f>
        <v>9.9094187317103725E-3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A998-939C-4DC3-91BC-CF26F085EC68}">
  <dimension ref="A1:K1001"/>
  <sheetViews>
    <sheetView tabSelected="1" topLeftCell="A145" workbookViewId="0">
      <selection activeCell="J157" sqref="J157"/>
    </sheetView>
  </sheetViews>
  <sheetFormatPr defaultRowHeight="28.5" x14ac:dyDescent="0.45"/>
  <cols>
    <col min="2" max="2" width="11.73046875" bestFit="1" customWidth="1"/>
    <col min="6" max="6" width="11.73046875" bestFit="1" customWidth="1"/>
  </cols>
  <sheetData>
    <row r="1" spans="1:11" x14ac:dyDescent="0.45">
      <c r="A1" t="s">
        <v>8</v>
      </c>
      <c r="B1" t="s">
        <v>9</v>
      </c>
      <c r="D1" t="s">
        <v>1</v>
      </c>
      <c r="E1">
        <v>0.97</v>
      </c>
      <c r="G1" t="s">
        <v>2</v>
      </c>
      <c r="H1">
        <v>1.645</v>
      </c>
      <c r="J1" t="s">
        <v>3</v>
      </c>
      <c r="K1">
        <v>1000000</v>
      </c>
    </row>
    <row r="2" spans="1:11" x14ac:dyDescent="0.45">
      <c r="A2">
        <v>3.2658704185450915E-3</v>
      </c>
      <c r="B2">
        <f>A2^2</f>
        <v>1.0665909590727891E-5</v>
      </c>
      <c r="E2">
        <f t="shared" ref="E2:E65" si="0">$E$1*E3</f>
        <v>1.0369555489464147E-2</v>
      </c>
      <c r="J2" t="s">
        <v>11</v>
      </c>
      <c r="K2">
        <v>5</v>
      </c>
    </row>
    <row r="3" spans="1:11" x14ac:dyDescent="0.45">
      <c r="A3">
        <v>-1.5626937965862453E-3</v>
      </c>
      <c r="B3">
        <f t="shared" ref="B3:B66" si="1">A3^2</f>
        <v>2.4420119018891334E-6</v>
      </c>
      <c r="E3">
        <f t="shared" si="0"/>
        <v>1.0690263391200152E-2</v>
      </c>
    </row>
    <row r="4" spans="1:11" x14ac:dyDescent="0.45">
      <c r="A4">
        <v>1.233433977176901E-2</v>
      </c>
      <c r="B4">
        <f t="shared" si="1"/>
        <v>1.521359376054428E-4</v>
      </c>
      <c r="E4">
        <f t="shared" si="0"/>
        <v>1.1020890094020776E-2</v>
      </c>
    </row>
    <row r="5" spans="1:11" x14ac:dyDescent="0.45">
      <c r="A5">
        <v>-3.0979663279140368E-5</v>
      </c>
      <c r="B5">
        <f t="shared" si="1"/>
        <v>9.5973953688891815E-10</v>
      </c>
      <c r="E5">
        <f t="shared" si="0"/>
        <v>1.1361742364969873E-2</v>
      </c>
    </row>
    <row r="6" spans="1:11" x14ac:dyDescent="0.45">
      <c r="A6">
        <v>-1.9340177459525876E-3</v>
      </c>
      <c r="B6">
        <f t="shared" si="1"/>
        <v>3.7404246416595275E-6</v>
      </c>
      <c r="E6">
        <f t="shared" si="0"/>
        <v>1.1713136458731828E-2</v>
      </c>
    </row>
    <row r="7" spans="1:11" x14ac:dyDescent="0.45">
      <c r="A7">
        <v>1.7372713045915589E-2</v>
      </c>
      <c r="B7">
        <f t="shared" si="1"/>
        <v>3.0181115857572571E-4</v>
      </c>
      <c r="E7">
        <f t="shared" si="0"/>
        <v>1.207539841106374E-2</v>
      </c>
    </row>
    <row r="8" spans="1:11" x14ac:dyDescent="0.45">
      <c r="A8">
        <v>-6.0104866861365736E-3</v>
      </c>
      <c r="B8">
        <f t="shared" si="1"/>
        <v>3.6125950204225006E-5</v>
      </c>
      <c r="E8">
        <f t="shared" si="0"/>
        <v>1.2448864341302825E-2</v>
      </c>
    </row>
    <row r="9" spans="1:11" x14ac:dyDescent="0.45">
      <c r="A9">
        <v>4.1741259337868541E-4</v>
      </c>
      <c r="B9">
        <f t="shared" si="1"/>
        <v>1.7423327311111977E-7</v>
      </c>
      <c r="E9">
        <f t="shared" si="0"/>
        <v>1.2833880764229717E-2</v>
      </c>
    </row>
    <row r="10" spans="1:11" x14ac:dyDescent="0.45">
      <c r="A10">
        <v>1.1107613318017684E-2</v>
      </c>
      <c r="B10">
        <f t="shared" si="1"/>
        <v>1.2337907362260382E-4</v>
      </c>
      <c r="E10">
        <f t="shared" si="0"/>
        <v>1.3230804911577028E-2</v>
      </c>
    </row>
    <row r="11" spans="1:11" x14ac:dyDescent="0.45">
      <c r="A11">
        <v>-1.0126495908480138E-2</v>
      </c>
      <c r="B11">
        <f t="shared" si="1"/>
        <v>1.0254591938446496E-4</v>
      </c>
      <c r="E11">
        <f t="shared" si="0"/>
        <v>1.3640005063481472E-2</v>
      </c>
    </row>
    <row r="12" spans="1:11" x14ac:dyDescent="0.45">
      <c r="A12">
        <v>-1.6405329006374814E-2</v>
      </c>
      <c r="B12">
        <f t="shared" si="1"/>
        <v>2.6913481980740282E-4</v>
      </c>
      <c r="E12">
        <f t="shared" si="0"/>
        <v>1.4061860890187084E-2</v>
      </c>
    </row>
    <row r="13" spans="1:11" x14ac:dyDescent="0.45">
      <c r="A13">
        <v>-6.9234033617249224E-3</v>
      </c>
      <c r="B13">
        <f t="shared" si="1"/>
        <v>4.7933514109143959E-5</v>
      </c>
      <c r="E13">
        <f t="shared" si="0"/>
        <v>1.4496763804316583E-2</v>
      </c>
    </row>
    <row r="14" spans="1:11" x14ac:dyDescent="0.45">
      <c r="A14">
        <v>-1.7897855286719278E-2</v>
      </c>
      <c r="B14">
        <f t="shared" si="1"/>
        <v>3.203332238643452E-4</v>
      </c>
      <c r="E14">
        <f t="shared" si="0"/>
        <v>1.4945117324037714E-2</v>
      </c>
    </row>
    <row r="15" spans="1:11" x14ac:dyDescent="0.45">
      <c r="A15">
        <v>-2.3531174520030618E-2</v>
      </c>
      <c r="B15">
        <f t="shared" si="1"/>
        <v>5.5371617429213812E-4</v>
      </c>
      <c r="E15">
        <f t="shared" si="0"/>
        <v>1.5407337447461561E-2</v>
      </c>
    </row>
    <row r="16" spans="1:11" x14ac:dyDescent="0.45">
      <c r="A16">
        <v>-1.1454517334641423E-2</v>
      </c>
      <c r="B16">
        <f t="shared" si="1"/>
        <v>1.3120596736960086E-4</v>
      </c>
      <c r="E16">
        <f t="shared" si="0"/>
        <v>1.5883853038620166E-2</v>
      </c>
    </row>
    <row r="17" spans="1:5" x14ac:dyDescent="0.45">
      <c r="A17">
        <v>1.4202942111296579E-2</v>
      </c>
      <c r="B17">
        <f t="shared" si="1"/>
        <v>2.0172356461684173E-4</v>
      </c>
      <c r="E17">
        <f t="shared" si="0"/>
        <v>1.6375106225381613E-2</v>
      </c>
    </row>
    <row r="18" spans="1:5" x14ac:dyDescent="0.45">
      <c r="A18">
        <v>1.0199573807767592E-2</v>
      </c>
      <c r="B18">
        <f t="shared" si="1"/>
        <v>1.040313058600987E-4</v>
      </c>
      <c r="E18">
        <f t="shared" si="0"/>
        <v>1.6881552809671765E-2</v>
      </c>
    </row>
    <row r="19" spans="1:5" x14ac:dyDescent="0.45">
      <c r="A19">
        <v>-2.9903162612754386E-3</v>
      </c>
      <c r="B19">
        <f t="shared" si="1"/>
        <v>8.9419913424483178E-6</v>
      </c>
      <c r="E19">
        <f t="shared" si="0"/>
        <v>1.7403662690383265E-2</v>
      </c>
    </row>
    <row r="20" spans="1:5" x14ac:dyDescent="0.45">
      <c r="A20">
        <v>2.8601789381355047E-3</v>
      </c>
      <c r="B20">
        <f t="shared" si="1"/>
        <v>8.1806235581539434E-6</v>
      </c>
      <c r="E20">
        <f t="shared" si="0"/>
        <v>1.794192029936419E-2</v>
      </c>
    </row>
    <row r="21" spans="1:5" x14ac:dyDescent="0.45">
      <c r="A21">
        <v>2.9295733838807791E-3</v>
      </c>
      <c r="B21">
        <f t="shared" si="1"/>
        <v>8.5824002115426781E-6</v>
      </c>
      <c r="E21">
        <f t="shared" si="0"/>
        <v>1.8496825050890918E-2</v>
      </c>
    </row>
    <row r="22" spans="1:5" x14ac:dyDescent="0.45">
      <c r="A22">
        <v>-2.6092266125488095E-3</v>
      </c>
      <c r="B22">
        <f t="shared" si="1"/>
        <v>6.8080635156329352E-6</v>
      </c>
      <c r="E22">
        <f t="shared" si="0"/>
        <v>1.9068891805042183E-2</v>
      </c>
    </row>
    <row r="23" spans="1:5" x14ac:dyDescent="0.45">
      <c r="A23">
        <v>1.9168737708241679E-3</v>
      </c>
      <c r="B23">
        <f t="shared" si="1"/>
        <v>3.6744050532736644E-6</v>
      </c>
      <c r="E23">
        <f t="shared" si="0"/>
        <v>1.9658651345404312E-2</v>
      </c>
    </row>
    <row r="24" spans="1:5" x14ac:dyDescent="0.45">
      <c r="A24">
        <v>-5.7215402193833143E-3</v>
      </c>
      <c r="B24">
        <f t="shared" si="1"/>
        <v>3.2736022482020863E-5</v>
      </c>
      <c r="E24">
        <f t="shared" si="0"/>
        <v>2.0266650871550839E-2</v>
      </c>
    </row>
    <row r="25" spans="1:5" x14ac:dyDescent="0.45">
      <c r="A25">
        <v>-6.5260792325716466E-4</v>
      </c>
      <c r="B25">
        <f t="shared" si="1"/>
        <v>4.2589710149802931E-7</v>
      </c>
      <c r="E25">
        <f t="shared" si="0"/>
        <v>2.0893454506753444E-2</v>
      </c>
    </row>
    <row r="26" spans="1:5" x14ac:dyDescent="0.45">
      <c r="A26">
        <v>-4.559910848911386E-3</v>
      </c>
      <c r="B26">
        <f t="shared" si="1"/>
        <v>2.0792786950019757E-5</v>
      </c>
      <c r="E26">
        <f t="shared" si="0"/>
        <v>2.1539643821395303E-2</v>
      </c>
    </row>
    <row r="27" spans="1:5" x14ac:dyDescent="0.45">
      <c r="A27">
        <v>1.453586264688056E-2</v>
      </c>
      <c r="B27">
        <f t="shared" si="1"/>
        <v>2.112913028889775E-4</v>
      </c>
      <c r="E27">
        <f t="shared" si="0"/>
        <v>2.2205818372572479E-2</v>
      </c>
    </row>
    <row r="28" spans="1:5" x14ac:dyDescent="0.45">
      <c r="A28">
        <v>1.3161729839339387E-2</v>
      </c>
      <c r="B28">
        <f t="shared" si="1"/>
        <v>1.7323113236375679E-4</v>
      </c>
      <c r="E28">
        <f t="shared" si="0"/>
        <v>2.2892596260384E-2</v>
      </c>
    </row>
    <row r="29" spans="1:5" x14ac:dyDescent="0.45">
      <c r="A29">
        <v>-3.4585355024319142E-3</v>
      </c>
      <c r="B29">
        <f t="shared" si="1"/>
        <v>1.1961467821581972E-5</v>
      </c>
      <c r="E29">
        <f t="shared" si="0"/>
        <v>2.3600614701426804E-2</v>
      </c>
    </row>
    <row r="30" spans="1:5" x14ac:dyDescent="0.45">
      <c r="A30">
        <v>-1.8912123778136447E-2</v>
      </c>
      <c r="B30">
        <f t="shared" si="1"/>
        <v>3.5766842579955399E-4</v>
      </c>
      <c r="E30">
        <f t="shared" si="0"/>
        <v>2.4330530620027633E-2</v>
      </c>
    </row>
    <row r="31" spans="1:5" x14ac:dyDescent="0.45">
      <c r="A31">
        <v>6.0830416259705089E-3</v>
      </c>
      <c r="B31">
        <f t="shared" si="1"/>
        <v>3.7003395423289935E-5</v>
      </c>
      <c r="E31">
        <f t="shared" si="0"/>
        <v>2.5083021257760445E-2</v>
      </c>
    </row>
    <row r="32" spans="1:5" x14ac:dyDescent="0.45">
      <c r="A32">
        <v>2.6464363145350944E-3</v>
      </c>
      <c r="B32">
        <f t="shared" si="1"/>
        <v>7.0036251668900929E-6</v>
      </c>
      <c r="E32">
        <f t="shared" si="0"/>
        <v>2.5858784801814892E-2</v>
      </c>
    </row>
    <row r="33" spans="1:5" x14ac:dyDescent="0.45">
      <c r="A33">
        <v>-2.5404233383596875E-3</v>
      </c>
      <c r="B33">
        <f t="shared" si="1"/>
        <v>6.4537507380825795E-6</v>
      </c>
      <c r="E33">
        <f t="shared" si="0"/>
        <v>2.6658541032798858E-2</v>
      </c>
    </row>
    <row r="34" spans="1:5" x14ac:dyDescent="0.45">
      <c r="A34">
        <v>-7.8865923569537699E-3</v>
      </c>
      <c r="B34">
        <f t="shared" si="1"/>
        <v>6.2198339004761617E-5</v>
      </c>
      <c r="E34">
        <f t="shared" si="0"/>
        <v>2.7483031992576144E-2</v>
      </c>
    </row>
    <row r="35" spans="1:5" x14ac:dyDescent="0.45">
      <c r="A35">
        <v>-6.633672455791384E-3</v>
      </c>
      <c r="B35">
        <f t="shared" si="1"/>
        <v>4.4005610250725288E-5</v>
      </c>
      <c r="E35">
        <f t="shared" si="0"/>
        <v>2.8333022672758914E-2</v>
      </c>
    </row>
    <row r="36" spans="1:5" x14ac:dyDescent="0.45">
      <c r="A36">
        <v>1.3799308362649754E-2</v>
      </c>
      <c r="B36">
        <f t="shared" si="1"/>
        <v>1.9042091128749543E-4</v>
      </c>
      <c r="E36">
        <f t="shared" si="0"/>
        <v>2.9209301724493725E-2</v>
      </c>
    </row>
    <row r="37" spans="1:5" x14ac:dyDescent="0.45">
      <c r="A37">
        <v>-2.5530653147143312E-3</v>
      </c>
      <c r="B37">
        <f t="shared" si="1"/>
        <v>6.5181425011973869E-6</v>
      </c>
      <c r="E37">
        <f t="shared" si="0"/>
        <v>3.0112682190199719E-2</v>
      </c>
    </row>
    <row r="38" spans="1:5" x14ac:dyDescent="0.45">
      <c r="A38">
        <v>3.1748299988976214E-3</v>
      </c>
      <c r="B38">
        <f t="shared" si="1"/>
        <v>1.0079545521900271E-5</v>
      </c>
      <c r="E38">
        <f t="shared" si="0"/>
        <v>3.1044002257937856E-2</v>
      </c>
    </row>
    <row r="39" spans="1:5" x14ac:dyDescent="0.45">
      <c r="A39">
        <v>-9.8232931122765876E-3</v>
      </c>
      <c r="B39">
        <f t="shared" si="1"/>
        <v>9.6497087569700644E-5</v>
      </c>
      <c r="E39">
        <f t="shared" si="0"/>
        <v>3.2004126039111194E-2</v>
      </c>
    </row>
    <row r="40" spans="1:5" x14ac:dyDescent="0.45">
      <c r="A40">
        <v>4.9912046051758807E-3</v>
      </c>
      <c r="B40">
        <f t="shared" si="1"/>
        <v>2.491212341072892E-5</v>
      </c>
      <c r="E40">
        <f t="shared" si="0"/>
        <v>3.2993944370217729E-2</v>
      </c>
    </row>
    <row r="41" spans="1:5" x14ac:dyDescent="0.45">
      <c r="A41">
        <v>9.0230741989216767E-3</v>
      </c>
      <c r="B41">
        <f t="shared" si="1"/>
        <v>8.1415867999246053E-5</v>
      </c>
      <c r="E41">
        <f t="shared" si="0"/>
        <v>3.401437563939972E-2</v>
      </c>
    </row>
    <row r="42" spans="1:5" x14ac:dyDescent="0.45">
      <c r="A42">
        <v>-2.7845544536830857E-3</v>
      </c>
      <c r="B42">
        <f t="shared" si="1"/>
        <v>7.7537435055263079E-6</v>
      </c>
      <c r="E42">
        <f t="shared" si="0"/>
        <v>3.5066366638556411E-2</v>
      </c>
    </row>
    <row r="43" spans="1:5" x14ac:dyDescent="0.45">
      <c r="A43">
        <v>-1.4041188478586264E-2</v>
      </c>
      <c r="B43">
        <f t="shared" si="1"/>
        <v>1.9715497389118363E-4</v>
      </c>
      <c r="E43">
        <f t="shared" si="0"/>
        <v>3.6150893441810737E-2</v>
      </c>
    </row>
    <row r="44" spans="1:5" x14ac:dyDescent="0.45">
      <c r="A44">
        <v>-1.6639205568935722E-4</v>
      </c>
      <c r="B44">
        <f t="shared" si="1"/>
        <v>2.7686316196530155E-8</v>
      </c>
      <c r="E44">
        <f t="shared" si="0"/>
        <v>3.7268962311145092E-2</v>
      </c>
    </row>
    <row r="45" spans="1:5" x14ac:dyDescent="0.45">
      <c r="A45">
        <v>-1.0071721590065863E-2</v>
      </c>
      <c r="B45">
        <f t="shared" si="1"/>
        <v>1.0143957578779883E-4</v>
      </c>
      <c r="E45">
        <f t="shared" si="0"/>
        <v>3.8421610630046489E-2</v>
      </c>
    </row>
    <row r="46" spans="1:5" x14ac:dyDescent="0.45">
      <c r="A46">
        <v>1.3010458133067004E-2</v>
      </c>
      <c r="B46">
        <f t="shared" si="1"/>
        <v>1.6927202083228936E-4</v>
      </c>
      <c r="E46">
        <f t="shared" si="0"/>
        <v>3.9609907866027312E-2</v>
      </c>
    </row>
    <row r="47" spans="1:5" x14ac:dyDescent="0.45">
      <c r="A47">
        <v>2.8538011065393221E-3</v>
      </c>
      <c r="B47">
        <f t="shared" si="1"/>
        <v>8.1441807556850596E-6</v>
      </c>
      <c r="E47">
        <f t="shared" si="0"/>
        <v>4.0834956562914755E-2</v>
      </c>
    </row>
    <row r="48" spans="1:5" x14ac:dyDescent="0.45">
      <c r="A48">
        <v>4.1686348595249001E-3</v>
      </c>
      <c r="B48">
        <f t="shared" si="1"/>
        <v>1.7377516592046182E-5</v>
      </c>
      <c r="E48">
        <f t="shared" si="0"/>
        <v>4.2097893363829644E-2</v>
      </c>
    </row>
    <row r="49" spans="1:5" x14ac:dyDescent="0.45">
      <c r="A49">
        <v>-1.9620756575022824E-3</v>
      </c>
      <c r="B49">
        <f t="shared" si="1"/>
        <v>3.8497408857630138E-6</v>
      </c>
      <c r="E49">
        <f t="shared" si="0"/>
        <v>4.3399890065803762E-2</v>
      </c>
    </row>
    <row r="50" spans="1:5" x14ac:dyDescent="0.45">
      <c r="A50">
        <v>2.6377279027656186E-3</v>
      </c>
      <c r="B50">
        <f t="shared" si="1"/>
        <v>6.9576084890283086E-6</v>
      </c>
      <c r="E50">
        <f t="shared" si="0"/>
        <v>4.474215470701419E-2</v>
      </c>
    </row>
    <row r="51" spans="1:5" x14ac:dyDescent="0.45">
      <c r="A51">
        <v>2.5578174245310947E-3</v>
      </c>
      <c r="B51">
        <f t="shared" si="1"/>
        <v>6.5424299772348823E-6</v>
      </c>
      <c r="E51">
        <f t="shared" si="0"/>
        <v>4.6125932687643499E-2</v>
      </c>
    </row>
    <row r="52" spans="1:5" x14ac:dyDescent="0.45">
      <c r="A52">
        <v>4.7860226004559081E-3</v>
      </c>
      <c r="B52">
        <f t="shared" si="1"/>
        <v>2.2906012332074734E-5</v>
      </c>
      <c r="E52">
        <f t="shared" si="0"/>
        <v>4.755250792540567E-2</v>
      </c>
    </row>
    <row r="53" spans="1:5" x14ac:dyDescent="0.45">
      <c r="A53">
        <v>2.8402610041666776E-3</v>
      </c>
      <c r="B53">
        <f t="shared" si="1"/>
        <v>8.0670825717899029E-6</v>
      </c>
      <c r="E53">
        <f t="shared" si="0"/>
        <v>4.9023204046809966E-2</v>
      </c>
    </row>
    <row r="54" spans="1:5" x14ac:dyDescent="0.45">
      <c r="A54">
        <v>2.6361476557212882E-3</v>
      </c>
      <c r="B54">
        <f t="shared" si="1"/>
        <v>6.9492744627648432E-6</v>
      </c>
      <c r="E54">
        <f t="shared" si="0"/>
        <v>5.0539385615268009E-2</v>
      </c>
    </row>
    <row r="55" spans="1:5" x14ac:dyDescent="0.45">
      <c r="A55">
        <v>1.1818860912171658E-2</v>
      </c>
      <c r="B55">
        <f t="shared" si="1"/>
        <v>1.3968547326125908E-4</v>
      </c>
      <c r="E55">
        <f t="shared" si="0"/>
        <v>5.2102459397183519E-2</v>
      </c>
    </row>
    <row r="56" spans="1:5" x14ac:dyDescent="0.45">
      <c r="A56">
        <v>-1.7198908608406782E-2</v>
      </c>
      <c r="B56">
        <f t="shared" si="1"/>
        <v>2.9580245732032892E-4</v>
      </c>
      <c r="E56">
        <f t="shared" si="0"/>
        <v>5.3713875667199505E-2</v>
      </c>
    </row>
    <row r="57" spans="1:5" x14ac:dyDescent="0.45">
      <c r="A57">
        <v>8.8395381681038998E-3</v>
      </c>
      <c r="B57">
        <f t="shared" si="1"/>
        <v>7.8137435025365653E-5</v>
      </c>
      <c r="E57">
        <f t="shared" si="0"/>
        <v>5.5375129553813927E-2</v>
      </c>
    </row>
    <row r="58" spans="1:5" x14ac:dyDescent="0.45">
      <c r="A58">
        <v>1.1095835361629725E-3</v>
      </c>
      <c r="B58">
        <f t="shared" si="1"/>
        <v>1.2311756237239264E-6</v>
      </c>
      <c r="E58">
        <f t="shared" si="0"/>
        <v>5.7087762426612294E-2</v>
      </c>
    </row>
    <row r="59" spans="1:5" x14ac:dyDescent="0.45">
      <c r="A59">
        <v>-4.2907686292892322E-3</v>
      </c>
      <c r="B59">
        <f t="shared" si="1"/>
        <v>1.8410695430092596E-5</v>
      </c>
      <c r="E59">
        <f t="shared" si="0"/>
        <v>5.885336332640443E-2</v>
      </c>
    </row>
    <row r="60" spans="1:5" x14ac:dyDescent="0.45">
      <c r="A60">
        <v>-8.866709322319366E-3</v>
      </c>
      <c r="B60">
        <f t="shared" si="1"/>
        <v>7.8618534206505148E-5</v>
      </c>
      <c r="E60">
        <f t="shared" si="0"/>
        <v>6.0673570439592199E-2</v>
      </c>
    </row>
    <row r="61" spans="1:5" x14ac:dyDescent="0.45">
      <c r="A61">
        <v>1.2958889783476479E-2</v>
      </c>
      <c r="B61">
        <f t="shared" si="1"/>
        <v>1.6793282442029107E-4</v>
      </c>
      <c r="E61">
        <f t="shared" si="0"/>
        <v>6.255007261813629E-2</v>
      </c>
    </row>
    <row r="62" spans="1:5" x14ac:dyDescent="0.45">
      <c r="A62">
        <v>2.4189375835703686E-3</v>
      </c>
      <c r="B62">
        <f t="shared" si="1"/>
        <v>5.8512590332092537E-6</v>
      </c>
      <c r="E62">
        <f t="shared" si="0"/>
        <v>6.4484610946532267E-2</v>
      </c>
    </row>
    <row r="63" spans="1:5" x14ac:dyDescent="0.45">
      <c r="A63">
        <v>1.7480488168075681E-4</v>
      </c>
      <c r="B63">
        <f t="shared" si="1"/>
        <v>3.0556746659423387E-8</v>
      </c>
      <c r="E63">
        <f t="shared" si="0"/>
        <v>6.6478980357249765E-2</v>
      </c>
    </row>
    <row r="64" spans="1:5" x14ac:dyDescent="0.45">
      <c r="A64">
        <v>8.0769950727699324E-3</v>
      </c>
      <c r="B64">
        <f t="shared" si="1"/>
        <v>6.5237849405549761E-5</v>
      </c>
      <c r="E64">
        <f t="shared" si="0"/>
        <v>6.853503129613378E-2</v>
      </c>
    </row>
    <row r="65" spans="1:5" x14ac:dyDescent="0.45">
      <c r="A65">
        <v>-2.0651327758969273E-3</v>
      </c>
      <c r="B65">
        <f t="shared" si="1"/>
        <v>4.2647733820837491E-6</v>
      </c>
      <c r="E65">
        <f t="shared" si="0"/>
        <v>7.0654671439313171E-2</v>
      </c>
    </row>
    <row r="66" spans="1:5" x14ac:dyDescent="0.45">
      <c r="A66">
        <v>-2.3927168513182551E-2</v>
      </c>
      <c r="B66">
        <f t="shared" si="1"/>
        <v>5.7250939305823452E-4</v>
      </c>
      <c r="E66">
        <f t="shared" ref="E66:E129" si="2">$E$1*E67</f>
        <v>7.2839867463209459E-2</v>
      </c>
    </row>
    <row r="67" spans="1:5" x14ac:dyDescent="0.45">
      <c r="A67">
        <v>2.3693473849561997E-3</v>
      </c>
      <c r="B67">
        <f t="shared" ref="B67:B130" si="3">A67^2</f>
        <v>5.6138070305987818E-6</v>
      </c>
      <c r="E67">
        <f t="shared" si="2"/>
        <v>7.5092646869288099E-2</v>
      </c>
    </row>
    <row r="68" spans="1:5" x14ac:dyDescent="0.45">
      <c r="A68">
        <v>1.5547811926808208E-2</v>
      </c>
      <c r="B68">
        <f t="shared" si="3"/>
        <v>2.4173445571139957E-4</v>
      </c>
      <c r="E68">
        <f t="shared" si="2"/>
        <v>7.741509986524546E-2</v>
      </c>
    </row>
    <row r="69" spans="1:5" x14ac:dyDescent="0.45">
      <c r="A69">
        <v>2.1777964320790488E-3</v>
      </c>
      <c r="B69">
        <f t="shared" si="3"/>
        <v>4.742797299576235E-6</v>
      </c>
      <c r="E69">
        <f t="shared" si="2"/>
        <v>7.9809381304376759E-2</v>
      </c>
    </row>
    <row r="70" spans="1:5" x14ac:dyDescent="0.45">
      <c r="A70">
        <v>-1.1917882147827186E-2</v>
      </c>
      <c r="B70">
        <f t="shared" si="3"/>
        <v>1.4203591488949795E-4</v>
      </c>
      <c r="E70">
        <f t="shared" si="2"/>
        <v>8.2277712684924495E-2</v>
      </c>
    </row>
    <row r="71" spans="1:5" x14ac:dyDescent="0.45">
      <c r="A71">
        <v>-1.7145430319942534E-2</v>
      </c>
      <c r="B71">
        <f t="shared" si="3"/>
        <v>2.9396578085600473E-4</v>
      </c>
      <c r="E71">
        <f t="shared" si="2"/>
        <v>8.4822384211262369E-2</v>
      </c>
    </row>
    <row r="72" spans="1:5" x14ac:dyDescent="0.45">
      <c r="A72">
        <v>-1.6719809536880348E-3</v>
      </c>
      <c r="B72">
        <f t="shared" si="3"/>
        <v>2.7955203094955503E-6</v>
      </c>
      <c r="E72">
        <f t="shared" si="2"/>
        <v>8.744575691882718E-2</v>
      </c>
    </row>
    <row r="73" spans="1:5" x14ac:dyDescent="0.45">
      <c r="A73">
        <v>-1.4039142115507275E-2</v>
      </c>
      <c r="B73">
        <f t="shared" si="3"/>
        <v>1.9709751133941008E-4</v>
      </c>
      <c r="E73">
        <f t="shared" si="2"/>
        <v>9.0150264864770291E-2</v>
      </c>
    </row>
    <row r="74" spans="1:5" x14ac:dyDescent="0.45">
      <c r="A74">
        <v>-8.2617589214351028E-3</v>
      </c>
      <c r="B74">
        <f t="shared" si="3"/>
        <v>6.8256660475912519E-5</v>
      </c>
      <c r="E74">
        <f t="shared" si="2"/>
        <v>9.2938417386361133E-2</v>
      </c>
    </row>
    <row r="75" spans="1:5" x14ac:dyDescent="0.45">
      <c r="A75">
        <v>2.2428594093071297E-3</v>
      </c>
      <c r="B75">
        <f t="shared" si="3"/>
        <v>5.0304183299175265E-6</v>
      </c>
      <c r="E75">
        <f t="shared" si="2"/>
        <v>9.5812801429238287E-2</v>
      </c>
    </row>
    <row r="76" spans="1:5" x14ac:dyDescent="0.45">
      <c r="A76">
        <v>9.1072934083058499E-3</v>
      </c>
      <c r="B76">
        <f t="shared" si="3"/>
        <v>8.2942793224971187E-5</v>
      </c>
      <c r="E76">
        <f t="shared" si="2"/>
        <v>9.8776083947668333E-2</v>
      </c>
    </row>
    <row r="77" spans="1:5" x14ac:dyDescent="0.45">
      <c r="A77">
        <v>4.4268517740420066E-4</v>
      </c>
      <c r="B77">
        <f t="shared" si="3"/>
        <v>1.959701662933886E-7</v>
      </c>
      <c r="E77">
        <f t="shared" si="2"/>
        <v>0.10183101437903952</v>
      </c>
    </row>
    <row r="78" spans="1:5" x14ac:dyDescent="0.45">
      <c r="A78">
        <v>-1.0879443834710401E-2</v>
      </c>
      <c r="B78">
        <f t="shared" si="3"/>
        <v>1.1836229815261814E-4</v>
      </c>
      <c r="E78">
        <f t="shared" si="2"/>
        <v>0.10498042719488611</v>
      </c>
    </row>
    <row r="79" spans="1:5" x14ac:dyDescent="0.45">
      <c r="A79">
        <v>1.9046456145588309E-2</v>
      </c>
      <c r="B79">
        <f t="shared" si="3"/>
        <v>3.6276749170581864E-4</v>
      </c>
      <c r="E79">
        <f t="shared" si="2"/>
        <v>0.10822724453081042</v>
      </c>
    </row>
    <row r="80" spans="1:5" x14ac:dyDescent="0.45">
      <c r="A80">
        <v>-4.0014924707065802E-3</v>
      </c>
      <c r="B80">
        <f t="shared" si="3"/>
        <v>1.6011941993121452E-5</v>
      </c>
      <c r="E80">
        <f t="shared" si="2"/>
        <v>0.1115744788977427</v>
      </c>
    </row>
    <row r="81" spans="1:5" x14ac:dyDescent="0.45">
      <c r="A81">
        <v>-7.3157025326509029E-3</v>
      </c>
      <c r="B81">
        <f t="shared" si="3"/>
        <v>5.3519503546234834E-5</v>
      </c>
      <c r="E81">
        <f t="shared" si="2"/>
        <v>0.11502523597705434</v>
      </c>
    </row>
    <row r="82" spans="1:5" x14ac:dyDescent="0.45">
      <c r="A82">
        <v>-9.3083372121327557E-3</v>
      </c>
      <c r="B82">
        <f t="shared" si="3"/>
        <v>8.6645141654775401E-5</v>
      </c>
      <c r="E82">
        <f t="shared" si="2"/>
        <v>0.11858271750211788</v>
      </c>
    </row>
    <row r="83" spans="1:5" x14ac:dyDescent="0.45">
      <c r="A83">
        <v>-1.059222540789051E-2</v>
      </c>
      <c r="B83">
        <f t="shared" si="3"/>
        <v>1.1219523909156128E-4</v>
      </c>
      <c r="E83">
        <f t="shared" si="2"/>
        <v>0.12225022422898751</v>
      </c>
    </row>
    <row r="84" spans="1:5" x14ac:dyDescent="0.45">
      <c r="A84">
        <v>-5.9205831348663196E-4</v>
      </c>
      <c r="B84">
        <f t="shared" si="3"/>
        <v>3.5053304656863496E-7</v>
      </c>
      <c r="E84">
        <f t="shared" si="2"/>
        <v>0.1260311589989562</v>
      </c>
    </row>
    <row r="85" spans="1:5" x14ac:dyDescent="0.45">
      <c r="A85">
        <v>-3.7729478208348155E-3</v>
      </c>
      <c r="B85">
        <f t="shared" si="3"/>
        <v>1.4235135258742183E-5</v>
      </c>
      <c r="E85">
        <f t="shared" si="2"/>
        <v>0.12992902989583113</v>
      </c>
    </row>
    <row r="86" spans="1:5" x14ac:dyDescent="0.45">
      <c r="A86">
        <v>1.0465714694873895E-2</v>
      </c>
      <c r="B86">
        <f t="shared" si="3"/>
        <v>1.095311840744994E-4</v>
      </c>
      <c r="E86">
        <f t="shared" si="2"/>
        <v>0.13394745350085685</v>
      </c>
    </row>
    <row r="87" spans="1:5" x14ac:dyDescent="0.45">
      <c r="A87">
        <v>-7.1932845457922667E-3</v>
      </c>
      <c r="B87">
        <f t="shared" si="3"/>
        <v>5.1743342556733856E-5</v>
      </c>
      <c r="E87">
        <f t="shared" si="2"/>
        <v>0.13809015824830603</v>
      </c>
    </row>
    <row r="88" spans="1:5" x14ac:dyDescent="0.45">
      <c r="A88">
        <v>-1.1141719369334169E-2</v>
      </c>
      <c r="B88">
        <f t="shared" si="3"/>
        <v>1.2413791050499618E-4</v>
      </c>
      <c r="E88">
        <f t="shared" si="2"/>
        <v>0.14236098788485158</v>
      </c>
    </row>
    <row r="89" spans="1:5" x14ac:dyDescent="0.45">
      <c r="A89">
        <v>5.8754039855557494E-3</v>
      </c>
      <c r="B89">
        <f t="shared" si="3"/>
        <v>3.4520371993484384E-5</v>
      </c>
      <c r="E89">
        <f t="shared" si="2"/>
        <v>0.14676390503592945</v>
      </c>
    </row>
    <row r="90" spans="1:5" x14ac:dyDescent="0.45">
      <c r="A90">
        <v>-3.7475047065527178E-3</v>
      </c>
      <c r="B90">
        <f t="shared" si="3"/>
        <v>1.4043791525634772E-5</v>
      </c>
      <c r="E90">
        <f t="shared" si="2"/>
        <v>0.15130299488240151</v>
      </c>
    </row>
    <row r="91" spans="1:5" x14ac:dyDescent="0.45">
      <c r="A91">
        <v>-1.6291824067593552E-2</v>
      </c>
      <c r="B91">
        <f t="shared" si="3"/>
        <v>2.6542353144942053E-4</v>
      </c>
      <c r="E91">
        <f t="shared" si="2"/>
        <v>0.1559824689509294</v>
      </c>
    </row>
    <row r="92" spans="1:5" x14ac:dyDescent="0.45">
      <c r="A92">
        <v>-5.3355961426859722E-3</v>
      </c>
      <c r="B92">
        <f t="shared" si="3"/>
        <v>2.8468586197845425E-5</v>
      </c>
      <c r="E92">
        <f t="shared" si="2"/>
        <v>0.1608066690215767</v>
      </c>
    </row>
    <row r="93" spans="1:5" x14ac:dyDescent="0.45">
      <c r="A93">
        <v>4.6364448280655779E-3</v>
      </c>
      <c r="B93">
        <f t="shared" si="3"/>
        <v>2.1496620643696046E-5</v>
      </c>
      <c r="E93">
        <f t="shared" si="2"/>
        <v>0.16578007115626464</v>
      </c>
    </row>
    <row r="94" spans="1:5" x14ac:dyDescent="0.45">
      <c r="A94">
        <v>-5.6891394706326537E-3</v>
      </c>
      <c r="B94">
        <f t="shared" si="3"/>
        <v>3.2366307916310391E-5</v>
      </c>
      <c r="E94">
        <f t="shared" si="2"/>
        <v>0.17090728985181922</v>
      </c>
    </row>
    <row r="95" spans="1:5" x14ac:dyDescent="0.45">
      <c r="A95">
        <v>-2.4528162612114102E-3</v>
      </c>
      <c r="B95">
        <f t="shared" si="3"/>
        <v>6.0163076112631207E-6</v>
      </c>
      <c r="E95">
        <f t="shared" si="2"/>
        <v>0.17619308232146311</v>
      </c>
    </row>
    <row r="96" spans="1:5" x14ac:dyDescent="0.45">
      <c r="A96">
        <v>-9.7689053291105665E-3</v>
      </c>
      <c r="B96">
        <f t="shared" si="3"/>
        <v>9.5431511329124822E-5</v>
      </c>
      <c r="E96">
        <f t="shared" si="2"/>
        <v>0.18164235290872485</v>
      </c>
    </row>
    <row r="97" spans="1:5" x14ac:dyDescent="0.45">
      <c r="A97">
        <v>-6.7523387770052068E-3</v>
      </c>
      <c r="B97">
        <f t="shared" si="3"/>
        <v>4.5594078959448169E-5</v>
      </c>
      <c r="E97">
        <f t="shared" si="2"/>
        <v>0.18726015763786069</v>
      </c>
    </row>
    <row r="98" spans="1:5" x14ac:dyDescent="0.45">
      <c r="A98">
        <v>-7.3397131927777082E-3</v>
      </c>
      <c r="B98">
        <f t="shared" si="3"/>
        <v>5.3871389752235138E-5</v>
      </c>
      <c r="E98">
        <f t="shared" si="2"/>
        <v>0.19305170890501103</v>
      </c>
    </row>
    <row r="99" spans="1:5" x14ac:dyDescent="0.45">
      <c r="A99">
        <v>-1.7924503481481224E-2</v>
      </c>
      <c r="B99">
        <f t="shared" si="3"/>
        <v>3.2128782505763253E-4</v>
      </c>
      <c r="E99">
        <f t="shared" si="2"/>
        <v>0.19902238031444436</v>
      </c>
    </row>
    <row r="100" spans="1:5" x14ac:dyDescent="0.45">
      <c r="A100">
        <v>-5.6218141253339127E-4</v>
      </c>
      <c r="B100">
        <f t="shared" si="3"/>
        <v>3.1604794059803906E-7</v>
      </c>
      <c r="E100">
        <f t="shared" si="2"/>
        <v>0.20517771166437562</v>
      </c>
    </row>
    <row r="101" spans="1:5" x14ac:dyDescent="0.45">
      <c r="A101">
        <v>7.2240368353959639E-3</v>
      </c>
      <c r="B101">
        <f t="shared" si="3"/>
        <v>5.2186708199157736E-5</v>
      </c>
      <c r="E101">
        <f t="shared" si="2"/>
        <v>0.21152341408698519</v>
      </c>
    </row>
    <row r="102" spans="1:5" x14ac:dyDescent="0.45">
      <c r="A102">
        <v>-1.8282844393979758E-2</v>
      </c>
      <c r="B102">
        <f t="shared" si="3"/>
        <v>3.3426239913447709E-4</v>
      </c>
      <c r="E102">
        <f t="shared" si="2"/>
        <v>0.21806537534740741</v>
      </c>
    </row>
    <row r="103" spans="1:5" x14ac:dyDescent="0.45">
      <c r="A103">
        <v>-1.3207454685471021E-3</v>
      </c>
      <c r="B103">
        <f t="shared" si="3"/>
        <v>1.7443685926877041E-6</v>
      </c>
      <c r="E103">
        <f t="shared" si="2"/>
        <v>0.22480966530660559</v>
      </c>
    </row>
    <row r="104" spans="1:5" x14ac:dyDescent="0.45">
      <c r="A104">
        <v>-8.1482312452862971E-3</v>
      </c>
      <c r="B104">
        <f t="shared" si="3"/>
        <v>6.6393672426659885E-5</v>
      </c>
      <c r="E104">
        <f t="shared" si="2"/>
        <v>0.23176254155320164</v>
      </c>
    </row>
    <row r="105" spans="1:5" x14ac:dyDescent="0.45">
      <c r="A105">
        <v>-1.5417981558130123E-3</v>
      </c>
      <c r="B105">
        <f t="shared" si="3"/>
        <v>2.3771415532684056E-6</v>
      </c>
      <c r="E105">
        <f t="shared" si="2"/>
        <v>0.23893045520948622</v>
      </c>
    </row>
    <row r="106" spans="1:5" x14ac:dyDescent="0.45">
      <c r="A106">
        <v>-9.7258407549816184E-3</v>
      </c>
      <c r="B106">
        <f t="shared" si="3"/>
        <v>9.4591978391261416E-5</v>
      </c>
      <c r="E106">
        <f t="shared" si="2"/>
        <v>0.2463200569169961</v>
      </c>
    </row>
    <row r="107" spans="1:5" x14ac:dyDescent="0.45">
      <c r="A107">
        <v>-3.5488142202666495E-3</v>
      </c>
      <c r="B107">
        <f t="shared" si="3"/>
        <v>1.2594082369966787E-5</v>
      </c>
      <c r="E107">
        <f t="shared" si="2"/>
        <v>0.25393820300721248</v>
      </c>
    </row>
    <row r="108" spans="1:5" x14ac:dyDescent="0.45">
      <c r="A108">
        <v>-7.1626118369749747E-3</v>
      </c>
      <c r="B108">
        <f t="shared" si="3"/>
        <v>5.130300832717402E-5</v>
      </c>
      <c r="E108">
        <f t="shared" si="2"/>
        <v>0.26179196186310566</v>
      </c>
    </row>
    <row r="109" spans="1:5" x14ac:dyDescent="0.45">
      <c r="A109">
        <v>1.6068088370957412E-2</v>
      </c>
      <c r="B109">
        <f t="shared" si="3"/>
        <v>2.581834638968968E-4</v>
      </c>
      <c r="E109">
        <f t="shared" si="2"/>
        <v>0.26988862047742851</v>
      </c>
    </row>
    <row r="110" spans="1:5" x14ac:dyDescent="0.45">
      <c r="A110">
        <v>-1.1099109542556107E-2</v>
      </c>
      <c r="B110">
        <f t="shared" si="3"/>
        <v>1.2319023263766002E-4</v>
      </c>
      <c r="E110">
        <f t="shared" si="2"/>
        <v>0.27823569121384384</v>
      </c>
    </row>
    <row r="111" spans="1:5" x14ac:dyDescent="0.45">
      <c r="A111">
        <v>-9.8829559647128917E-3</v>
      </c>
      <c r="B111">
        <f t="shared" si="3"/>
        <v>9.7672818600454128E-5</v>
      </c>
      <c r="E111">
        <f t="shared" si="2"/>
        <v>0.28684091877715862</v>
      </c>
    </row>
    <row r="112" spans="1:5" x14ac:dyDescent="0.45">
      <c r="A112">
        <v>-8.3687837104662322E-3</v>
      </c>
      <c r="B112">
        <f t="shared" si="3"/>
        <v>7.003654079256495E-5</v>
      </c>
      <c r="E112">
        <f t="shared" si="2"/>
        <v>0.29571228739913258</v>
      </c>
    </row>
    <row r="113" spans="1:5" x14ac:dyDescent="0.45">
      <c r="A113">
        <v>5.6140834203688428E-4</v>
      </c>
      <c r="B113">
        <f t="shared" si="3"/>
        <v>3.1517932650860325E-7</v>
      </c>
      <c r="E113">
        <f t="shared" si="2"/>
        <v>0.30485802824652841</v>
      </c>
    </row>
    <row r="114" spans="1:5" x14ac:dyDescent="0.45">
      <c r="A114">
        <v>-5.2002633310621604E-3</v>
      </c>
      <c r="B114">
        <f t="shared" si="3"/>
        <v>2.7042738712389717E-5</v>
      </c>
      <c r="E114">
        <f t="shared" si="2"/>
        <v>0.3142866270582767</v>
      </c>
    </row>
    <row r="115" spans="1:5" x14ac:dyDescent="0.45">
      <c r="A115">
        <v>-1.6910689737414941E-2</v>
      </c>
      <c r="B115">
        <f t="shared" si="3"/>
        <v>2.8597142739511099E-4</v>
      </c>
      <c r="E115">
        <f t="shared" si="2"/>
        <v>0.32400683201884195</v>
      </c>
    </row>
    <row r="116" spans="1:5" x14ac:dyDescent="0.45">
      <c r="A116">
        <v>-1.0554754226177465E-2</v>
      </c>
      <c r="B116">
        <f t="shared" si="3"/>
        <v>1.1140283677501106E-4</v>
      </c>
      <c r="E116">
        <f t="shared" si="2"/>
        <v>0.33402766187509481</v>
      </c>
    </row>
    <row r="117" spans="1:5" x14ac:dyDescent="0.45">
      <c r="A117">
        <v>3.1129388844419736E-3</v>
      </c>
      <c r="B117">
        <f t="shared" si="3"/>
        <v>9.6903884982708396E-6</v>
      </c>
      <c r="E117">
        <f t="shared" si="2"/>
        <v>0.34435841430422148</v>
      </c>
    </row>
    <row r="118" spans="1:5" x14ac:dyDescent="0.45">
      <c r="A118">
        <v>-1.7286856746068224E-2</v>
      </c>
      <c r="B118">
        <f t="shared" si="3"/>
        <v>2.9883541615908447E-4</v>
      </c>
      <c r="E118">
        <f t="shared" si="2"/>
        <v>0.35500867454043455</v>
      </c>
    </row>
    <row r="119" spans="1:5" x14ac:dyDescent="0.45">
      <c r="A119">
        <v>-8.7472017185064033E-3</v>
      </c>
      <c r="B119">
        <f t="shared" si="3"/>
        <v>7.6513537904241376E-5</v>
      </c>
      <c r="E119">
        <f t="shared" si="2"/>
        <v>0.36598832426848926</v>
      </c>
    </row>
    <row r="120" spans="1:5" x14ac:dyDescent="0.45">
      <c r="A120">
        <v>-1.0360463420511223E-2</v>
      </c>
      <c r="B120">
        <f t="shared" si="3"/>
        <v>1.0733920228775112E-4</v>
      </c>
      <c r="E120">
        <f t="shared" si="2"/>
        <v>0.37730755079225697</v>
      </c>
    </row>
    <row r="121" spans="1:5" x14ac:dyDescent="0.45">
      <c r="A121">
        <v>4.2078909245901741E-3</v>
      </c>
      <c r="B121">
        <f t="shared" si="3"/>
        <v>1.770634603324835E-5</v>
      </c>
      <c r="E121">
        <f t="shared" si="2"/>
        <v>0.38897685648686287</v>
      </c>
    </row>
    <row r="122" spans="1:5" x14ac:dyDescent="0.45">
      <c r="A122">
        <v>3.2062189347925596E-3</v>
      </c>
      <c r="B122">
        <f t="shared" si="3"/>
        <v>1.0279839857822335E-5</v>
      </c>
      <c r="E122">
        <f t="shared" si="2"/>
        <v>0.4010070685431576</v>
      </c>
    </row>
    <row r="123" spans="1:5" x14ac:dyDescent="0.45">
      <c r="A123">
        <v>5.6280896387761459E-3</v>
      </c>
      <c r="B123">
        <f t="shared" si="3"/>
        <v>3.1675392982099408E-5</v>
      </c>
      <c r="E123">
        <f t="shared" si="2"/>
        <v>0.41340934901356452</v>
      </c>
    </row>
    <row r="124" spans="1:5" x14ac:dyDescent="0.45">
      <c r="A124">
        <v>2.1284677131916396E-3</v>
      </c>
      <c r="B124">
        <f t="shared" si="3"/>
        <v>4.5303748060992479E-6</v>
      </c>
      <c r="E124">
        <f t="shared" si="2"/>
        <v>0.42619520516862325</v>
      </c>
    </row>
    <row r="125" spans="1:5" x14ac:dyDescent="0.45">
      <c r="A125">
        <v>1.2290274753468111E-2</v>
      </c>
      <c r="B125">
        <f t="shared" si="3"/>
        <v>1.5105085351573564E-4</v>
      </c>
      <c r="E125">
        <f t="shared" si="2"/>
        <v>0.43937650017383839</v>
      </c>
    </row>
    <row r="126" spans="1:5" x14ac:dyDescent="0.45">
      <c r="A126">
        <v>6.8787585405516438E-3</v>
      </c>
      <c r="B126">
        <f t="shared" si="3"/>
        <v>4.7317319059212184E-5</v>
      </c>
      <c r="E126">
        <f t="shared" si="2"/>
        <v>0.4529654640967406</v>
      </c>
    </row>
    <row r="127" spans="1:5" x14ac:dyDescent="0.45">
      <c r="A127">
        <v>5.0876110435638111E-3</v>
      </c>
      <c r="B127">
        <f t="shared" si="3"/>
        <v>2.5883786130592453E-5</v>
      </c>
      <c r="E127">
        <f t="shared" si="2"/>
        <v>0.46697470525437179</v>
      </c>
    </row>
    <row r="128" spans="1:5" x14ac:dyDescent="0.45">
      <c r="A128">
        <v>-1.0648682291503064E-2</v>
      </c>
      <c r="B128">
        <f t="shared" si="3"/>
        <v>1.1339443454537095E-4</v>
      </c>
      <c r="E128">
        <f t="shared" si="2"/>
        <v>0.48141722191172354</v>
      </c>
    </row>
    <row r="129" spans="1:5" x14ac:dyDescent="0.45">
      <c r="A129">
        <v>1.2409986993588973E-2</v>
      </c>
      <c r="B129">
        <f t="shared" si="3"/>
        <v>1.5400777718104747E-4</v>
      </c>
      <c r="E129">
        <f t="shared" si="2"/>
        <v>0.49630641434198303</v>
      </c>
    </row>
    <row r="130" spans="1:5" x14ac:dyDescent="0.45">
      <c r="A130">
        <v>-1.0820190254889894E-2</v>
      </c>
      <c r="B130">
        <f t="shared" si="3"/>
        <v>1.1707651715201423E-4</v>
      </c>
      <c r="E130">
        <f t="shared" ref="E130:E149" si="4">$E$1*E131</f>
        <v>0.51165609725977634</v>
      </c>
    </row>
    <row r="131" spans="1:5" x14ac:dyDescent="0.45">
      <c r="A131">
        <v>-1.4993111108196899E-2</v>
      </c>
      <c r="B131">
        <f t="shared" ref="B131:B194" si="5">A131^2</f>
        <v>2.2479338070273725E-4</v>
      </c>
      <c r="E131">
        <f t="shared" si="4"/>
        <v>0.52748051263894469</v>
      </c>
    </row>
    <row r="132" spans="1:5" x14ac:dyDescent="0.45">
      <c r="A132">
        <v>-4.5336150833463762E-3</v>
      </c>
      <c r="B132">
        <f t="shared" si="5"/>
        <v>2.0553665723945769E-5</v>
      </c>
      <c r="E132">
        <f t="shared" si="4"/>
        <v>0.54379434292674711</v>
      </c>
    </row>
    <row r="133" spans="1:5" x14ac:dyDescent="0.45">
      <c r="A133">
        <v>8.3135319073335268E-3</v>
      </c>
      <c r="B133">
        <f t="shared" si="5"/>
        <v>6.9114812774252621E-5</v>
      </c>
      <c r="E133">
        <f t="shared" si="4"/>
        <v>0.56061272466674961</v>
      </c>
    </row>
    <row r="134" spans="1:5" x14ac:dyDescent="0.45">
      <c r="A134">
        <v>-1.7386582840117626E-2</v>
      </c>
      <c r="B134">
        <f t="shared" si="5"/>
        <v>3.0229326285627269E-4</v>
      </c>
      <c r="E134">
        <f t="shared" si="4"/>
        <v>0.57795126254304086</v>
      </c>
    </row>
    <row r="135" spans="1:5" x14ac:dyDescent="0.45">
      <c r="A135">
        <v>3.3143237487820443E-3</v>
      </c>
      <c r="B135">
        <f t="shared" si="5"/>
        <v>1.0984741911740663E-5</v>
      </c>
      <c r="E135">
        <f t="shared" si="4"/>
        <v>0.595826043858805</v>
      </c>
    </row>
    <row r="136" spans="1:5" x14ac:dyDescent="0.45">
      <c r="A136">
        <v>1.645048541831784E-5</v>
      </c>
      <c r="B136">
        <f t="shared" si="5"/>
        <v>2.7061847049828786E-10</v>
      </c>
      <c r="E136">
        <f t="shared" si="4"/>
        <v>0.61425365346268557</v>
      </c>
    </row>
    <row r="137" spans="1:5" x14ac:dyDescent="0.45">
      <c r="A137">
        <v>4.6628656491520815E-3</v>
      </c>
      <c r="B137">
        <f t="shared" si="5"/>
        <v>2.1742316062042464E-5</v>
      </c>
      <c r="E137">
        <f t="shared" si="4"/>
        <v>0.63325118913678924</v>
      </c>
    </row>
    <row r="138" spans="1:5" x14ac:dyDescent="0.45">
      <c r="A138">
        <v>-9.8879354482050985E-3</v>
      </c>
      <c r="B138">
        <f t="shared" si="5"/>
        <v>9.7771267427870968E-5</v>
      </c>
      <c r="E138">
        <f t="shared" si="4"/>
        <v>0.65283627746060746</v>
      </c>
    </row>
    <row r="139" spans="1:5" x14ac:dyDescent="0.45">
      <c r="A139">
        <v>2.1492087398655713E-2</v>
      </c>
      <c r="B139">
        <f t="shared" si="5"/>
        <v>4.6190982075145566E-4</v>
      </c>
      <c r="E139">
        <f t="shared" si="4"/>
        <v>0.67302709016557472</v>
      </c>
    </row>
    <row r="140" spans="1:5" x14ac:dyDescent="0.45">
      <c r="A140">
        <v>-7.0886471803532913E-3</v>
      </c>
      <c r="B140">
        <f t="shared" si="5"/>
        <v>5.0248918847530666E-5</v>
      </c>
      <c r="E140">
        <f t="shared" si="4"/>
        <v>0.69384236099543783</v>
      </c>
    </row>
    <row r="141" spans="1:5" x14ac:dyDescent="0.45">
      <c r="A141">
        <v>-7.8095695243973751E-3</v>
      </c>
      <c r="B141">
        <f t="shared" si="5"/>
        <v>6.0989376156396242E-5</v>
      </c>
      <c r="E141">
        <f t="shared" si="4"/>
        <v>0.71530140308808021</v>
      </c>
    </row>
    <row r="142" spans="1:5" x14ac:dyDescent="0.45">
      <c r="A142">
        <v>8.8531351138954051E-3</v>
      </c>
      <c r="B142">
        <f t="shared" si="5"/>
        <v>7.8378001344887811E-5</v>
      </c>
      <c r="E142">
        <f t="shared" si="4"/>
        <v>0.73742412689492809</v>
      </c>
    </row>
    <row r="143" spans="1:5" x14ac:dyDescent="0.45">
      <c r="A143">
        <v>4.2028659663628787E-3</v>
      </c>
      <c r="B143">
        <f t="shared" si="5"/>
        <v>1.7664082331211373E-5</v>
      </c>
      <c r="E143">
        <f t="shared" si="4"/>
        <v>0.76023105865456508</v>
      </c>
    </row>
    <row r="144" spans="1:5" x14ac:dyDescent="0.45">
      <c r="A144">
        <v>-1.751277522998862E-2</v>
      </c>
      <c r="B144">
        <f t="shared" si="5"/>
        <v>3.0669729625610296E-4</v>
      </c>
      <c r="E144">
        <f t="shared" si="4"/>
        <v>0.78374335943769602</v>
      </c>
    </row>
    <row r="145" spans="1:10" x14ac:dyDescent="0.45">
      <c r="A145">
        <v>-1.1791235010605305E-2</v>
      </c>
      <c r="B145">
        <f t="shared" si="5"/>
        <v>1.3903322307532429E-4</v>
      </c>
      <c r="E145">
        <f t="shared" si="4"/>
        <v>0.80798284478112992</v>
      </c>
    </row>
    <row r="146" spans="1:10" x14ac:dyDescent="0.45">
      <c r="A146">
        <v>6.7889004640164785E-3</v>
      </c>
      <c r="B146">
        <f t="shared" si="5"/>
        <v>4.6089169510323155E-5</v>
      </c>
      <c r="E146">
        <f t="shared" si="4"/>
        <v>0.83297200492899992</v>
      </c>
    </row>
    <row r="147" spans="1:10" x14ac:dyDescent="0.45">
      <c r="A147">
        <v>-7.0415126174339093E-3</v>
      </c>
      <c r="B147">
        <f t="shared" si="5"/>
        <v>4.9582899941480943E-5</v>
      </c>
      <c r="E147">
        <f t="shared" si="4"/>
        <v>0.8587340256999999</v>
      </c>
    </row>
    <row r="148" spans="1:10" x14ac:dyDescent="0.45">
      <c r="A148">
        <v>-1.1343195183144417E-2</v>
      </c>
      <c r="B148">
        <f t="shared" si="5"/>
        <v>1.286680769629107E-4</v>
      </c>
      <c r="E148">
        <f t="shared" si="4"/>
        <v>0.88529280999999993</v>
      </c>
    </row>
    <row r="149" spans="1:10" x14ac:dyDescent="0.45">
      <c r="A149">
        <v>-3.6050892049388494E-3</v>
      </c>
      <c r="B149">
        <f t="shared" si="5"/>
        <v>1.2996668175566626E-5</v>
      </c>
      <c r="E149">
        <f t="shared" si="4"/>
        <v>0.91267299999999996</v>
      </c>
    </row>
    <row r="150" spans="1:10" x14ac:dyDescent="0.45">
      <c r="A150">
        <v>2.6266434360877611E-3</v>
      </c>
      <c r="B150">
        <f t="shared" si="5"/>
        <v>6.8992557403429206E-6</v>
      </c>
      <c r="E150">
        <f>$E$1*E151</f>
        <v>0.94089999999999996</v>
      </c>
    </row>
    <row r="151" spans="1:10" x14ac:dyDescent="0.45">
      <c r="A151">
        <v>5.3408939493237995E-3</v>
      </c>
      <c r="B151">
        <f t="shared" si="5"/>
        <v>2.852514817792357E-5</v>
      </c>
      <c r="E151">
        <f>$E$1</f>
        <v>0.97</v>
      </c>
    </row>
    <row r="152" spans="1:10" x14ac:dyDescent="0.45">
      <c r="A152">
        <v>-6.6640950535656884E-4</v>
      </c>
      <c r="B152">
        <f t="shared" si="5"/>
        <v>4.4410162882958676E-7</v>
      </c>
      <c r="E152">
        <v>1</v>
      </c>
      <c r="I152" t="s">
        <v>10</v>
      </c>
      <c r="J152" t="s">
        <v>12</v>
      </c>
    </row>
    <row r="153" spans="1:10" x14ac:dyDescent="0.45">
      <c r="A153">
        <v>6.7927430791314691E-3</v>
      </c>
      <c r="B153">
        <f t="shared" si="5"/>
        <v>4.6141358539088471E-5</v>
      </c>
      <c r="F153">
        <f>(1-$E$1)*SUMPRODUCT($E$2:$E$152,B2:B152)</f>
        <v>8.9061834941034978E-5</v>
      </c>
      <c r="G153" s="1">
        <f>SQRT(F153)</f>
        <v>9.4372578083379167E-3</v>
      </c>
      <c r="H153" s="1">
        <f>G153*$H$1</f>
        <v>1.5524289094715872E-2</v>
      </c>
      <c r="I153">
        <f>H153*$K$1</f>
        <v>15524.289094715872</v>
      </c>
      <c r="J153">
        <f>I153*SQRT($K$2)</f>
        <v>34713.365718143366</v>
      </c>
    </row>
    <row r="154" spans="1:10" x14ac:dyDescent="0.45">
      <c r="A154">
        <v>-6.3353581936098635E-3</v>
      </c>
      <c r="B154">
        <f t="shared" si="5"/>
        <v>4.013676344133963E-5</v>
      </c>
      <c r="F154">
        <f>(1-$E$1)*SUMPRODUCT($E$2:$E$152,B3:B153)</f>
        <v>8.7771002167403407E-5</v>
      </c>
      <c r="G154" s="1">
        <f>SQRT(F154)</f>
        <v>9.3686179432936317E-3</v>
      </c>
      <c r="H154" s="1">
        <f t="shared" ref="H154:H217" si="6">G154*$H$1</f>
        <v>1.5411376516718023E-2</v>
      </c>
      <c r="I154">
        <f t="shared" ref="I154:I217" si="7">H154*$K$1</f>
        <v>15411.376516718023</v>
      </c>
      <c r="J154">
        <f t="shared" ref="J154:J217" si="8">I154*SQRT($K$2)</f>
        <v>34460.885518225426</v>
      </c>
    </row>
    <row r="155" spans="1:10" x14ac:dyDescent="0.45">
      <c r="A155">
        <v>1.0709572961786762E-2</v>
      </c>
      <c r="B155">
        <f t="shared" si="5"/>
        <v>1.1469495302383408E-4</v>
      </c>
      <c r="F155">
        <f t="shared" ref="F155:F218" si="9">(1-$E$1)*SUMPRODUCT($E$2:$E$152,B4:B154)</f>
        <v>8.6341238118603969E-5</v>
      </c>
      <c r="G155" s="1">
        <f t="shared" ref="G155:G218" si="10">SQRT(F155)</f>
        <v>9.2919986073289936E-3</v>
      </c>
      <c r="H155" s="1">
        <f t="shared" si="6"/>
        <v>1.5285337709056195E-2</v>
      </c>
      <c r="I155">
        <f t="shared" si="7"/>
        <v>15285.337709056195</v>
      </c>
      <c r="J155">
        <f t="shared" si="8"/>
        <v>34179.054176490557</v>
      </c>
    </row>
    <row r="156" spans="1:10" x14ac:dyDescent="0.45">
      <c r="A156">
        <v>4.7363300836877897E-3</v>
      </c>
      <c r="B156">
        <f t="shared" si="5"/>
        <v>2.2432822661645987E-5</v>
      </c>
      <c r="F156">
        <f t="shared" si="9"/>
        <v>8.7145941928194873E-5</v>
      </c>
      <c r="G156" s="1">
        <f t="shared" si="10"/>
        <v>9.3351990834794132E-3</v>
      </c>
      <c r="H156" s="1">
        <f t="shared" si="6"/>
        <v>1.5356402492323635E-2</v>
      </c>
      <c r="I156">
        <f t="shared" si="7"/>
        <v>15356.402492323636</v>
      </c>
      <c r="J156">
        <f t="shared" si="8"/>
        <v>34337.959862682845</v>
      </c>
    </row>
    <row r="157" spans="1:10" x14ac:dyDescent="0.45">
      <c r="A157">
        <v>1.2372083801892586E-2</v>
      </c>
      <c r="B157">
        <f t="shared" si="5"/>
        <v>1.5306845760105291E-4</v>
      </c>
      <c r="F157">
        <f t="shared" si="9"/>
        <v>8.520454806059309E-5</v>
      </c>
      <c r="G157" s="1">
        <f t="shared" si="10"/>
        <v>9.230630967631253E-3</v>
      </c>
      <c r="H157" s="1">
        <f t="shared" si="6"/>
        <v>1.5184387941753412E-2</v>
      </c>
      <c r="I157">
        <f t="shared" si="7"/>
        <v>15184.387941753412</v>
      </c>
      <c r="J157">
        <f t="shared" si="8"/>
        <v>33953.323634488748</v>
      </c>
    </row>
    <row r="158" spans="1:10" x14ac:dyDescent="0.45">
      <c r="A158">
        <v>-8.6767840912216343E-3</v>
      </c>
      <c r="B158">
        <f t="shared" si="5"/>
        <v>7.5286582165676842E-5</v>
      </c>
      <c r="F158">
        <f t="shared" si="9"/>
        <v>8.723933665846743E-5</v>
      </c>
      <c r="G158" s="1">
        <f t="shared" si="10"/>
        <v>9.3402000331078254E-3</v>
      </c>
      <c r="H158" s="1">
        <f t="shared" si="6"/>
        <v>1.5364629054462373E-2</v>
      </c>
      <c r="I158">
        <f t="shared" si="7"/>
        <v>15364.629054462373</v>
      </c>
      <c r="J158">
        <f t="shared" si="8"/>
        <v>34356.355014846187</v>
      </c>
    </row>
    <row r="159" spans="1:10" x14ac:dyDescent="0.45">
      <c r="A159">
        <v>-1.5138266462599859E-2</v>
      </c>
      <c r="B159">
        <f t="shared" si="5"/>
        <v>2.2916711149267564E-4</v>
      </c>
      <c r="F159">
        <f t="shared" si="9"/>
        <v>8.6789681279798552E-5</v>
      </c>
      <c r="G159" s="1">
        <f t="shared" si="10"/>
        <v>9.3160979642658622E-3</v>
      </c>
      <c r="H159" s="1">
        <f t="shared" si="6"/>
        <v>1.5324981151217344E-2</v>
      </c>
      <c r="I159">
        <f t="shared" si="7"/>
        <v>15324.981151217344</v>
      </c>
      <c r="J159">
        <f t="shared" si="8"/>
        <v>34267.699608024966</v>
      </c>
    </row>
    <row r="160" spans="1:10" x14ac:dyDescent="0.45">
      <c r="A160">
        <v>1.4489796740235761E-2</v>
      </c>
      <c r="B160">
        <f t="shared" si="5"/>
        <v>2.0995420957334689E-4</v>
      </c>
      <c r="F160">
        <f t="shared" si="9"/>
        <v>9.1050103033868022E-5</v>
      </c>
      <c r="G160" s="1">
        <f t="shared" si="10"/>
        <v>9.5420177653297213E-3</v>
      </c>
      <c r="H160" s="1">
        <f t="shared" si="6"/>
        <v>1.5696619223967392E-2</v>
      </c>
      <c r="I160">
        <f t="shared" si="7"/>
        <v>15696.619223967391</v>
      </c>
      <c r="J160">
        <f t="shared" si="8"/>
        <v>35098.707601721086</v>
      </c>
    </row>
    <row r="161" spans="1:10" x14ac:dyDescent="0.45">
      <c r="A161">
        <v>-2.9687362257391214E-2</v>
      </c>
      <c r="B161">
        <f t="shared" si="5"/>
        <v>8.8133947780157638E-4</v>
      </c>
      <c r="F161">
        <f t="shared" si="9"/>
        <v>9.4617173654454049E-5</v>
      </c>
      <c r="G161" s="1">
        <f t="shared" si="10"/>
        <v>9.7271359430437711E-3</v>
      </c>
      <c r="H161" s="1">
        <f t="shared" si="6"/>
        <v>1.6001138626307004E-2</v>
      </c>
      <c r="I161">
        <f t="shared" si="7"/>
        <v>16001.138626307004</v>
      </c>
      <c r="J161">
        <f t="shared" si="8"/>
        <v>35779.633685820067</v>
      </c>
    </row>
    <row r="162" spans="1:10" x14ac:dyDescent="0.45">
      <c r="A162">
        <v>-2.0699917513411492E-2</v>
      </c>
      <c r="B162">
        <f t="shared" si="5"/>
        <v>4.2848658506203983E-4</v>
      </c>
      <c r="F162">
        <f t="shared" si="9"/>
        <v>1.1818161264189785E-4</v>
      </c>
      <c r="G162" s="1">
        <f t="shared" si="10"/>
        <v>1.0871136676626683E-2</v>
      </c>
      <c r="H162" s="1">
        <f t="shared" si="6"/>
        <v>1.7883019833050896E-2</v>
      </c>
      <c r="I162">
        <f t="shared" si="7"/>
        <v>17883.019833050897</v>
      </c>
      <c r="J162">
        <f t="shared" si="8"/>
        <v>39987.64798967875</v>
      </c>
    </row>
    <row r="163" spans="1:10" x14ac:dyDescent="0.45">
      <c r="A163">
        <v>-1.4355600796989165E-2</v>
      </c>
      <c r="B163">
        <f t="shared" si="5"/>
        <v>2.0608327424251596E-4</v>
      </c>
      <c r="F163">
        <f t="shared" si="9"/>
        <v>1.2745981816650502E-4</v>
      </c>
      <c r="G163" s="1">
        <f t="shared" si="10"/>
        <v>1.128981036893468E-2</v>
      </c>
      <c r="H163" s="1">
        <f t="shared" si="6"/>
        <v>1.857173805689755E-2</v>
      </c>
      <c r="I163">
        <f t="shared" si="7"/>
        <v>18571.73805689755</v>
      </c>
      <c r="J163">
        <f t="shared" si="8"/>
        <v>41527.668755542778</v>
      </c>
    </row>
    <row r="164" spans="1:10" x14ac:dyDescent="0.45">
      <c r="A164">
        <v>1.5100567907211371E-3</v>
      </c>
      <c r="B164">
        <f t="shared" si="5"/>
        <v>2.2802715112030199E-6</v>
      </c>
      <c r="F164">
        <f t="shared" si="9"/>
        <v>1.2973730932294445E-4</v>
      </c>
      <c r="G164" s="1">
        <f t="shared" si="10"/>
        <v>1.1390228677377134E-2</v>
      </c>
      <c r="H164" s="1">
        <f t="shared" si="6"/>
        <v>1.8736926174285386E-2</v>
      </c>
      <c r="I164">
        <f t="shared" si="7"/>
        <v>18736.926174285385</v>
      </c>
      <c r="J164">
        <f t="shared" si="8"/>
        <v>41897.040615097198</v>
      </c>
    </row>
    <row r="165" spans="1:10" x14ac:dyDescent="0.45">
      <c r="A165">
        <v>5.2581413001462352E-3</v>
      </c>
      <c r="B165">
        <f t="shared" si="5"/>
        <v>2.7648049932303542E-5</v>
      </c>
      <c r="F165">
        <f t="shared" si="9"/>
        <v>1.2589913405587229E-4</v>
      </c>
      <c r="G165" s="1">
        <f t="shared" si="10"/>
        <v>1.1220478334539588E-2</v>
      </c>
      <c r="H165" s="1">
        <f t="shared" si="6"/>
        <v>1.8457686860317624E-2</v>
      </c>
      <c r="I165">
        <f t="shared" si="7"/>
        <v>18457.686860317623</v>
      </c>
      <c r="J165">
        <f t="shared" si="8"/>
        <v>41272.642527074873</v>
      </c>
    </row>
    <row r="166" spans="1:10" x14ac:dyDescent="0.45">
      <c r="A166">
        <v>-4.2580836634442676E-3</v>
      </c>
      <c r="B166">
        <f t="shared" si="5"/>
        <v>1.8131276484890954E-5</v>
      </c>
      <c r="F166">
        <f t="shared" si="9"/>
        <v>1.2285493967979181E-4</v>
      </c>
      <c r="G166" s="1">
        <f t="shared" si="10"/>
        <v>1.1083994752786191E-2</v>
      </c>
      <c r="H166" s="1">
        <f t="shared" si="6"/>
        <v>1.8233171368333283E-2</v>
      </c>
      <c r="I166">
        <f t="shared" si="7"/>
        <v>18233.171368333282</v>
      </c>
      <c r="J166">
        <f t="shared" si="8"/>
        <v>40770.610624996079</v>
      </c>
    </row>
    <row r="167" spans="1:10" x14ac:dyDescent="0.45">
      <c r="A167">
        <v>-6.7206656240159646E-3</v>
      </c>
      <c r="B167">
        <f t="shared" si="5"/>
        <v>4.5167346429829894E-5</v>
      </c>
      <c r="F167">
        <f t="shared" si="9"/>
        <v>1.1954614367763793E-4</v>
      </c>
      <c r="G167" s="1">
        <f t="shared" si="10"/>
        <v>1.0933715913523542E-2</v>
      </c>
      <c r="H167" s="1">
        <f t="shared" si="6"/>
        <v>1.7985962677746225E-2</v>
      </c>
      <c r="I167">
        <f t="shared" si="7"/>
        <v>17985.962677746225</v>
      </c>
      <c r="J167">
        <f t="shared" si="8"/>
        <v>40217.835188214704</v>
      </c>
    </row>
    <row r="168" spans="1:10" x14ac:dyDescent="0.45">
      <c r="A168">
        <v>2.0596644390025176E-3</v>
      </c>
      <c r="B168">
        <f t="shared" si="5"/>
        <v>4.242217601291556E-6</v>
      </c>
      <c r="F168">
        <f t="shared" si="9"/>
        <v>1.1727518782623134E-4</v>
      </c>
      <c r="G168" s="1">
        <f t="shared" si="10"/>
        <v>1.0829366917148543E-2</v>
      </c>
      <c r="H168" s="1">
        <f t="shared" si="6"/>
        <v>1.7814308578709352E-2</v>
      </c>
      <c r="I168">
        <f t="shared" si="7"/>
        <v>17814.308578709351</v>
      </c>
      <c r="J168">
        <f t="shared" si="8"/>
        <v>39834.004954151773</v>
      </c>
    </row>
    <row r="169" spans="1:10" x14ac:dyDescent="0.45">
      <c r="A169">
        <v>-6.8690724219777621E-3</v>
      </c>
      <c r="B169">
        <f t="shared" si="5"/>
        <v>4.718415593837544E-5</v>
      </c>
      <c r="F169">
        <f t="shared" si="9"/>
        <v>1.1382332781390553E-4</v>
      </c>
      <c r="G169" s="1">
        <f t="shared" si="10"/>
        <v>1.066880161095451E-2</v>
      </c>
      <c r="H169" s="1">
        <f t="shared" si="6"/>
        <v>1.7550178650020169E-2</v>
      </c>
      <c r="I169">
        <f t="shared" si="7"/>
        <v>17550.178650020171</v>
      </c>
      <c r="J169">
        <f t="shared" si="8"/>
        <v>39243.392478710593</v>
      </c>
    </row>
    <row r="170" spans="1:10" x14ac:dyDescent="0.45">
      <c r="A170">
        <v>-1.2185137165943161E-2</v>
      </c>
      <c r="B170">
        <f t="shared" si="5"/>
        <v>1.4847756775284931E-4</v>
      </c>
      <c r="F170">
        <f t="shared" si="9"/>
        <v>1.1179276078823577E-4</v>
      </c>
      <c r="G170" s="1">
        <f t="shared" si="10"/>
        <v>1.057320957837476E-2</v>
      </c>
      <c r="H170" s="1">
        <f t="shared" si="6"/>
        <v>1.7392929756426478E-2</v>
      </c>
      <c r="I170">
        <f t="shared" si="7"/>
        <v>17392.929756426478</v>
      </c>
      <c r="J170">
        <f t="shared" si="8"/>
        <v>38891.773263248469</v>
      </c>
    </row>
    <row r="171" spans="1:10" x14ac:dyDescent="0.45">
      <c r="A171">
        <v>1.6411195247201249E-2</v>
      </c>
      <c r="B171">
        <f t="shared" si="5"/>
        <v>2.6932732944176085E-4</v>
      </c>
      <c r="F171">
        <f t="shared" si="9"/>
        <v>1.1289060671493967E-4</v>
      </c>
      <c r="G171" s="1">
        <f t="shared" si="10"/>
        <v>1.0624999139526537E-2</v>
      </c>
      <c r="H171" s="1">
        <f t="shared" si="6"/>
        <v>1.7478123584521155E-2</v>
      </c>
      <c r="I171">
        <f t="shared" si="7"/>
        <v>17478.123584521156</v>
      </c>
      <c r="J171">
        <f t="shared" si="8"/>
        <v>39082.272454131598</v>
      </c>
    </row>
    <row r="172" spans="1:10" x14ac:dyDescent="0.45">
      <c r="A172">
        <v>2.4922655939008109E-3</v>
      </c>
      <c r="B172">
        <f t="shared" si="5"/>
        <v>6.2113877905417618E-6</v>
      </c>
      <c r="F172">
        <f t="shared" si="9"/>
        <v>1.1758123986033347E-4</v>
      </c>
      <c r="G172" s="1">
        <f t="shared" si="10"/>
        <v>1.0843488362161573E-2</v>
      </c>
      <c r="H172" s="1">
        <f t="shared" si="6"/>
        <v>1.7837538355755789E-2</v>
      </c>
      <c r="I172">
        <f t="shared" si="7"/>
        <v>17837.538355755791</v>
      </c>
      <c r="J172">
        <f t="shared" si="8"/>
        <v>39885.94831472978</v>
      </c>
    </row>
    <row r="173" spans="1:10" x14ac:dyDescent="0.45">
      <c r="A173">
        <v>-6.3110746850725263E-3</v>
      </c>
      <c r="B173">
        <f t="shared" si="5"/>
        <v>3.9829663680563287E-5</v>
      </c>
      <c r="F173">
        <f t="shared" si="9"/>
        <v>1.1423755452409069E-4</v>
      </c>
      <c r="G173" s="1">
        <f t="shared" si="10"/>
        <v>1.068819697255298E-2</v>
      </c>
      <c r="H173" s="1">
        <f t="shared" si="6"/>
        <v>1.7582084019849651E-2</v>
      </c>
      <c r="I173">
        <f t="shared" si="7"/>
        <v>17582.084019849652</v>
      </c>
      <c r="J173">
        <f t="shared" si="8"/>
        <v>39314.735054496588</v>
      </c>
    </row>
    <row r="174" spans="1:10" x14ac:dyDescent="0.45">
      <c r="A174">
        <v>3.2699063012842089E-3</v>
      </c>
      <c r="B174">
        <f t="shared" si="5"/>
        <v>1.0692287219178175E-5</v>
      </c>
      <c r="F174">
        <f t="shared" si="9"/>
        <v>1.1200326343794601E-4</v>
      </c>
      <c r="G174" s="1">
        <f t="shared" si="10"/>
        <v>1.0583159426085672E-2</v>
      </c>
      <c r="H174" s="1">
        <f t="shared" si="6"/>
        <v>1.7409297255910932E-2</v>
      </c>
      <c r="I174">
        <f t="shared" si="7"/>
        <v>17409.297255910933</v>
      </c>
      <c r="J174">
        <f t="shared" si="8"/>
        <v>38928.372104717404</v>
      </c>
    </row>
    <row r="175" spans="1:10" x14ac:dyDescent="0.45">
      <c r="A175">
        <v>-3.515435764711583E-3</v>
      </c>
      <c r="B175">
        <f t="shared" si="5"/>
        <v>1.2358288615813312E-5</v>
      </c>
      <c r="F175">
        <f t="shared" si="9"/>
        <v>1.0896282538472261E-4</v>
      </c>
      <c r="G175" s="1">
        <f t="shared" si="10"/>
        <v>1.0438526015904861E-2</v>
      </c>
      <c r="H175" s="1">
        <f t="shared" si="6"/>
        <v>1.7171375296163496E-2</v>
      </c>
      <c r="I175">
        <f t="shared" si="7"/>
        <v>17171.375296163496</v>
      </c>
      <c r="J175">
        <f t="shared" si="8"/>
        <v>38396.362429382163</v>
      </c>
    </row>
    <row r="176" spans="1:10" x14ac:dyDescent="0.45">
      <c r="A176">
        <v>-1.2706095731118694E-3</v>
      </c>
      <c r="B176">
        <f t="shared" si="5"/>
        <v>1.614448687283527E-6</v>
      </c>
      <c r="F176">
        <f t="shared" si="9"/>
        <v>1.0605481105380787E-4</v>
      </c>
      <c r="G176" s="1">
        <f t="shared" si="10"/>
        <v>1.0298291657056905E-2</v>
      </c>
      <c r="H176" s="1">
        <f t="shared" si="6"/>
        <v>1.6940689775858608E-2</v>
      </c>
      <c r="I176">
        <f t="shared" si="7"/>
        <v>16940.689775858609</v>
      </c>
      <c r="J176">
        <f t="shared" si="8"/>
        <v>37880.53392455553</v>
      </c>
    </row>
    <row r="177" spans="1:10" x14ac:dyDescent="0.45">
      <c r="A177">
        <v>1.3196768122725189E-4</v>
      </c>
      <c r="B177">
        <f t="shared" si="5"/>
        <v>1.741546888849757E-8</v>
      </c>
      <c r="F177">
        <f t="shared" si="9"/>
        <v>1.0292147166663057E-4</v>
      </c>
      <c r="G177" s="1">
        <f t="shared" si="10"/>
        <v>1.0145022014102808E-2</v>
      </c>
      <c r="H177" s="1">
        <f t="shared" si="6"/>
        <v>1.6688561213199119E-2</v>
      </c>
      <c r="I177">
        <f t="shared" si="7"/>
        <v>16688.561213199118</v>
      </c>
      <c r="J177">
        <f t="shared" si="8"/>
        <v>37316.757319379591</v>
      </c>
    </row>
    <row r="178" spans="1:10" x14ac:dyDescent="0.45">
      <c r="A178">
        <v>-4.4658918341156095E-3</v>
      </c>
      <c r="B178">
        <f t="shared" si="5"/>
        <v>1.9944189874020482E-5</v>
      </c>
      <c r="F178">
        <f t="shared" si="9"/>
        <v>9.9828075672718817E-5</v>
      </c>
      <c r="G178" s="1">
        <f t="shared" si="10"/>
        <v>9.9914000857096504E-3</v>
      </c>
      <c r="H178" s="1">
        <f t="shared" si="6"/>
        <v>1.6435853140992374E-2</v>
      </c>
      <c r="I178">
        <f t="shared" si="7"/>
        <v>16435.853140992374</v>
      </c>
      <c r="J178">
        <f t="shared" si="8"/>
        <v>36751.684891462384</v>
      </c>
    </row>
    <row r="179" spans="1:10" x14ac:dyDescent="0.45">
      <c r="A179">
        <v>1.8794821698975284E-3</v>
      </c>
      <c r="B179">
        <f t="shared" si="5"/>
        <v>3.5324532269627216E-6</v>
      </c>
      <c r="F179">
        <f t="shared" si="9"/>
        <v>9.7367801089266149E-5</v>
      </c>
      <c r="G179" s="1">
        <f t="shared" si="10"/>
        <v>9.8675124063396114E-3</v>
      </c>
      <c r="H179" s="1">
        <f t="shared" si="6"/>
        <v>1.623205790842866E-2</v>
      </c>
      <c r="I179">
        <f t="shared" si="7"/>
        <v>16232.05790842866</v>
      </c>
      <c r="J179">
        <f t="shared" si="8"/>
        <v>36295.984897959541</v>
      </c>
    </row>
    <row r="180" spans="1:10" x14ac:dyDescent="0.45">
      <c r="A180">
        <v>-1.0690587259887252E-2</v>
      </c>
      <c r="B180">
        <f t="shared" si="5"/>
        <v>1.1428865596126362E-4</v>
      </c>
      <c r="F180">
        <f t="shared" si="9"/>
        <v>9.4500467455066198E-5</v>
      </c>
      <c r="G180" s="1">
        <f t="shared" si="10"/>
        <v>9.721135090876281E-3</v>
      </c>
      <c r="H180" s="1">
        <f t="shared" si="6"/>
        <v>1.5991267224491481E-2</v>
      </c>
      <c r="I180">
        <f t="shared" si="7"/>
        <v>15991.267224491481</v>
      </c>
      <c r="J180">
        <f t="shared" si="8"/>
        <v>35757.560560327343</v>
      </c>
    </row>
    <row r="181" spans="1:10" x14ac:dyDescent="0.45">
      <c r="A181">
        <v>4.1236148717871401E-3</v>
      </c>
      <c r="B181">
        <f t="shared" si="5"/>
        <v>1.7004199610824074E-5</v>
      </c>
      <c r="F181">
        <f t="shared" si="9"/>
        <v>9.5090503688716671E-5</v>
      </c>
      <c r="G181" s="1">
        <f t="shared" si="10"/>
        <v>9.751435980855162E-3</v>
      </c>
      <c r="H181" s="1">
        <f t="shared" si="6"/>
        <v>1.6041112188506741E-2</v>
      </c>
      <c r="I181">
        <f t="shared" si="7"/>
        <v>16041.11218850674</v>
      </c>
      <c r="J181">
        <f t="shared" si="8"/>
        <v>35869.017288201496</v>
      </c>
    </row>
    <row r="182" spans="1:10" x14ac:dyDescent="0.45">
      <c r="A182">
        <v>-1.2619238987099379E-5</v>
      </c>
      <c r="B182">
        <f t="shared" si="5"/>
        <v>1.5924519261352897E-10</v>
      </c>
      <c r="F182">
        <f t="shared" si="9"/>
        <v>9.2639986665064503E-5</v>
      </c>
      <c r="G182" s="1">
        <f t="shared" si="10"/>
        <v>9.6249668396864874E-3</v>
      </c>
      <c r="H182" s="1">
        <f t="shared" si="6"/>
        <v>1.5833070451284272E-2</v>
      </c>
      <c r="I182">
        <f t="shared" si="7"/>
        <v>15833.070451284271</v>
      </c>
      <c r="J182">
        <f t="shared" si="8"/>
        <v>35403.821821614903</v>
      </c>
    </row>
    <row r="183" spans="1:10" x14ac:dyDescent="0.45">
      <c r="A183">
        <v>-1.0943267625407316E-2</v>
      </c>
      <c r="B183">
        <f t="shared" si="5"/>
        <v>1.1975510632128787E-4</v>
      </c>
      <c r="F183">
        <f t="shared" si="9"/>
        <v>8.9849625917490052E-5</v>
      </c>
      <c r="G183" s="1">
        <f t="shared" si="10"/>
        <v>9.4789042572171831E-3</v>
      </c>
      <c r="H183" s="1">
        <f t="shared" si="6"/>
        <v>1.5592797503122266E-2</v>
      </c>
      <c r="I183">
        <f t="shared" si="7"/>
        <v>15592.797503122267</v>
      </c>
      <c r="J183">
        <f t="shared" si="8"/>
        <v>34866.555176370377</v>
      </c>
    </row>
    <row r="184" spans="1:10" x14ac:dyDescent="0.45">
      <c r="A184">
        <v>-6.3718744058860466E-3</v>
      </c>
      <c r="B184">
        <f t="shared" si="5"/>
        <v>4.0600783444385657E-5</v>
      </c>
      <c r="F184">
        <f t="shared" si="9"/>
        <v>9.0744676957241956E-5</v>
      </c>
      <c r="G184" s="1">
        <f t="shared" si="10"/>
        <v>9.5260000502436458E-3</v>
      </c>
      <c r="H184" s="1">
        <f t="shared" si="6"/>
        <v>1.5670270082650796E-2</v>
      </c>
      <c r="I184">
        <f t="shared" si="7"/>
        <v>15670.270082650795</v>
      </c>
      <c r="J184">
        <f t="shared" si="8"/>
        <v>35039.789130588426</v>
      </c>
    </row>
    <row r="185" spans="1:10" x14ac:dyDescent="0.45">
      <c r="A185">
        <v>7.0209580371738411E-3</v>
      </c>
      <c r="B185">
        <f t="shared" si="5"/>
        <v>4.9293851759755958E-5</v>
      </c>
      <c r="F185">
        <f t="shared" si="9"/>
        <v>8.9238412706338222E-5</v>
      </c>
      <c r="G185" s="1">
        <f t="shared" si="10"/>
        <v>9.446608529326184E-3</v>
      </c>
      <c r="H185" s="1">
        <f t="shared" si="6"/>
        <v>1.5539671030741572E-2</v>
      </c>
      <c r="I185">
        <f t="shared" si="7"/>
        <v>15539.671030741572</v>
      </c>
      <c r="J185">
        <f t="shared" si="8"/>
        <v>34747.76077272238</v>
      </c>
    </row>
    <row r="186" spans="1:10" x14ac:dyDescent="0.45">
      <c r="A186">
        <v>-8.3763779912260361E-3</v>
      </c>
      <c r="B186">
        <f t="shared" si="5"/>
        <v>7.0163708251895919E-5</v>
      </c>
      <c r="F186">
        <f t="shared" si="9"/>
        <v>8.8021307276325738E-5</v>
      </c>
      <c r="G186" s="1">
        <f t="shared" si="10"/>
        <v>9.3819671325541185E-3</v>
      </c>
      <c r="H186" s="1">
        <f t="shared" si="6"/>
        <v>1.5433335933051524E-2</v>
      </c>
      <c r="I186">
        <f t="shared" si="7"/>
        <v>15433.335933051525</v>
      </c>
      <c r="J186">
        <f t="shared" si="8"/>
        <v>34509.988265893357</v>
      </c>
    </row>
    <row r="187" spans="1:10" x14ac:dyDescent="0.45">
      <c r="A187">
        <v>1.48533217725344E-2</v>
      </c>
      <c r="B187">
        <f t="shared" si="5"/>
        <v>2.2062116767844445E-4</v>
      </c>
      <c r="F187">
        <f t="shared" si="9"/>
        <v>8.7472300433828184E-5</v>
      </c>
      <c r="G187" s="1">
        <f t="shared" si="10"/>
        <v>9.3526627456477964E-3</v>
      </c>
      <c r="H187" s="1">
        <f t="shared" si="6"/>
        <v>1.5385130216590626E-2</v>
      </c>
      <c r="I187">
        <f t="shared" si="7"/>
        <v>15385.130216590625</v>
      </c>
      <c r="J187">
        <f t="shared" si="8"/>
        <v>34402.1970069827</v>
      </c>
    </row>
    <row r="188" spans="1:10" x14ac:dyDescent="0.45">
      <c r="A188">
        <v>9.0653884399216622E-5</v>
      </c>
      <c r="B188">
        <f t="shared" si="5"/>
        <v>8.2181267566665309E-9</v>
      </c>
      <c r="F188">
        <f t="shared" si="9"/>
        <v>9.1409306167173528E-5</v>
      </c>
      <c r="G188" s="1">
        <f t="shared" si="10"/>
        <v>9.5608214169690207E-3</v>
      </c>
      <c r="H188" s="1">
        <f t="shared" si="6"/>
        <v>1.5727551230914041E-2</v>
      </c>
      <c r="I188">
        <f t="shared" si="7"/>
        <v>15727.551230914041</v>
      </c>
      <c r="J188">
        <f t="shared" si="8"/>
        <v>35167.873671934292</v>
      </c>
    </row>
    <row r="189" spans="1:10" x14ac:dyDescent="0.45">
      <c r="A189">
        <v>-8.6656427811249159E-3</v>
      </c>
      <c r="B189">
        <f t="shared" si="5"/>
        <v>7.5093364810062361E-5</v>
      </c>
      <c r="F189">
        <f t="shared" si="9"/>
        <v>8.8665306649966696E-5</v>
      </c>
      <c r="G189" s="1">
        <f t="shared" si="10"/>
        <v>9.4162257115028153E-3</v>
      </c>
      <c r="H189" s="1">
        <f t="shared" si="6"/>
        <v>1.5489691295422131E-2</v>
      </c>
      <c r="I189">
        <f t="shared" si="7"/>
        <v>15489.691295422132</v>
      </c>
      <c r="J189">
        <f t="shared" si="8"/>
        <v>34636.002687050663</v>
      </c>
    </row>
    <row r="190" spans="1:10" x14ac:dyDescent="0.45">
      <c r="A190">
        <v>-4.6662762542837299E-3</v>
      </c>
      <c r="B190">
        <f t="shared" si="5"/>
        <v>2.1774134081292197E-5</v>
      </c>
      <c r="F190">
        <f t="shared" si="9"/>
        <v>8.8255106850937591E-5</v>
      </c>
      <c r="G190" s="1">
        <f t="shared" si="10"/>
        <v>9.3944189203450778E-3</v>
      </c>
      <c r="H190" s="1">
        <f t="shared" si="6"/>
        <v>1.5453819123967653E-2</v>
      </c>
      <c r="I190">
        <f t="shared" si="7"/>
        <v>15453.819123967653</v>
      </c>
      <c r="J190">
        <f t="shared" si="8"/>
        <v>34555.790073177923</v>
      </c>
    </row>
    <row r="191" spans="1:10" x14ac:dyDescent="0.45">
      <c r="A191">
        <v>2.6575321498967241E-3</v>
      </c>
      <c r="B191">
        <f t="shared" si="5"/>
        <v>7.0624771277347048E-6</v>
      </c>
      <c r="F191">
        <f t="shared" si="9"/>
        <v>8.6231559279438145E-5</v>
      </c>
      <c r="G191" s="1">
        <f t="shared" si="10"/>
        <v>9.2860949424092235E-3</v>
      </c>
      <c r="H191" s="1">
        <f t="shared" si="6"/>
        <v>1.5275626180263173E-2</v>
      </c>
      <c r="I191">
        <f t="shared" si="7"/>
        <v>15275.626180263173</v>
      </c>
      <c r="J191">
        <f t="shared" si="8"/>
        <v>34157.338537943913</v>
      </c>
    </row>
    <row r="192" spans="1:10" x14ac:dyDescent="0.45">
      <c r="A192">
        <v>-1.8628725229064003E-4</v>
      </c>
      <c r="B192">
        <f t="shared" si="5"/>
        <v>3.4702940365996568E-8</v>
      </c>
      <c r="F192">
        <f t="shared" si="9"/>
        <v>8.3848969480386447E-5</v>
      </c>
      <c r="G192" s="1">
        <f t="shared" si="10"/>
        <v>9.1569082926709743E-3</v>
      </c>
      <c r="H192" s="1">
        <f t="shared" si="6"/>
        <v>1.5063114141443753E-2</v>
      </c>
      <c r="I192">
        <f t="shared" si="7"/>
        <v>15063.114141443753</v>
      </c>
      <c r="J192">
        <f t="shared" si="8"/>
        <v>33682.147173106619</v>
      </c>
    </row>
    <row r="193" spans="1:10" x14ac:dyDescent="0.45">
      <c r="A193">
        <v>1.2109921954106539E-2</v>
      </c>
      <c r="B193">
        <f t="shared" si="5"/>
        <v>1.4665020973455154E-4</v>
      </c>
      <c r="F193">
        <f t="shared" si="9"/>
        <v>8.1309973915082455E-5</v>
      </c>
      <c r="G193" s="1">
        <f t="shared" si="10"/>
        <v>9.0172043292298994E-3</v>
      </c>
      <c r="H193" s="1">
        <f t="shared" si="6"/>
        <v>1.4833301121583185E-2</v>
      </c>
      <c r="I193">
        <f t="shared" si="7"/>
        <v>14833.301121583185</v>
      </c>
      <c r="J193">
        <f t="shared" si="8"/>
        <v>33168.269638583879</v>
      </c>
    </row>
    <row r="194" spans="1:10" x14ac:dyDescent="0.45">
      <c r="A194">
        <v>-8.8587967184139416E-3</v>
      </c>
      <c r="B194">
        <f t="shared" si="5"/>
        <v>7.8478279298181618E-5</v>
      </c>
      <c r="F194">
        <f t="shared" si="9"/>
        <v>8.3267841266046816E-5</v>
      </c>
      <c r="G194" s="1">
        <f t="shared" si="10"/>
        <v>9.1251214384273707E-3</v>
      </c>
      <c r="H194" s="1">
        <f t="shared" si="6"/>
        <v>1.5010824766213024E-2</v>
      </c>
      <c r="I194">
        <f t="shared" si="7"/>
        <v>15010.824766213025</v>
      </c>
      <c r="J194">
        <f t="shared" si="8"/>
        <v>33565.224575589717</v>
      </c>
    </row>
    <row r="195" spans="1:10" x14ac:dyDescent="0.45">
      <c r="A195">
        <v>-3.593663677747827E-3</v>
      </c>
      <c r="B195">
        <f t="shared" ref="B195:B258" si="11">A195^2</f>
        <v>1.2914418628764038E-5</v>
      </c>
      <c r="F195">
        <f t="shared" si="9"/>
        <v>8.306466209225475E-5</v>
      </c>
      <c r="G195" s="1">
        <f t="shared" si="10"/>
        <v>9.1139816815843308E-3</v>
      </c>
      <c r="H195" s="1">
        <f t="shared" si="6"/>
        <v>1.4992499866206224E-2</v>
      </c>
      <c r="I195">
        <f t="shared" si="7"/>
        <v>14992.499866206224</v>
      </c>
      <c r="J195">
        <f t="shared" si="8"/>
        <v>33524.24885349362</v>
      </c>
    </row>
    <row r="196" spans="1:10" x14ac:dyDescent="0.45">
      <c r="A196">
        <v>1.0257281246595085E-3</v>
      </c>
      <c r="B196">
        <f t="shared" si="11"/>
        <v>1.0521181857175121E-6</v>
      </c>
      <c r="F196">
        <f t="shared" si="9"/>
        <v>8.0960146433891648E-5</v>
      </c>
      <c r="G196" s="1">
        <f t="shared" si="10"/>
        <v>8.9977856405835561E-3</v>
      </c>
      <c r="H196" s="1">
        <f t="shared" si="6"/>
        <v>1.480135737875995E-2</v>
      </c>
      <c r="I196">
        <f t="shared" si="7"/>
        <v>14801.357378759951</v>
      </c>
      <c r="J196">
        <f t="shared" si="8"/>
        <v>33096.841258175351</v>
      </c>
    </row>
    <row r="197" spans="1:10" x14ac:dyDescent="0.45">
      <c r="A197">
        <v>3.8297002902254462E-3</v>
      </c>
      <c r="B197">
        <f t="shared" si="11"/>
        <v>1.4666604312952867E-5</v>
      </c>
      <c r="F197">
        <f t="shared" si="9"/>
        <v>7.8532295782126574E-5</v>
      </c>
      <c r="G197" s="1">
        <f t="shared" si="10"/>
        <v>8.8618449423427947E-3</v>
      </c>
      <c r="H197" s="1">
        <f t="shared" si="6"/>
        <v>1.4577734930153897E-2</v>
      </c>
      <c r="I197">
        <f t="shared" si="7"/>
        <v>14577.734930153896</v>
      </c>
      <c r="J197">
        <f t="shared" si="8"/>
        <v>32596.806261797261</v>
      </c>
    </row>
    <row r="198" spans="1:10" x14ac:dyDescent="0.45">
      <c r="A198">
        <v>3.6852043194812723E-3</v>
      </c>
      <c r="B198">
        <f t="shared" si="11"/>
        <v>1.3580730876323427E-5</v>
      </c>
      <c r="F198">
        <f t="shared" si="9"/>
        <v>7.6565246517717897E-5</v>
      </c>
      <c r="G198" s="1">
        <f t="shared" si="10"/>
        <v>8.7501569424621121E-3</v>
      </c>
      <c r="H198" s="1">
        <f t="shared" si="6"/>
        <v>1.4394008170350175E-2</v>
      </c>
      <c r="I198">
        <f t="shared" si="7"/>
        <v>14394.008170350175</v>
      </c>
      <c r="J198">
        <f t="shared" si="8"/>
        <v>32185.980737590366</v>
      </c>
    </row>
    <row r="199" spans="1:10" x14ac:dyDescent="0.45">
      <c r="A199">
        <v>-3.1362333174911328E-3</v>
      </c>
      <c r="B199">
        <f t="shared" si="11"/>
        <v>9.8359594217414363E-6</v>
      </c>
      <c r="F199">
        <f t="shared" si="9"/>
        <v>7.4673253508828995E-5</v>
      </c>
      <c r="G199" s="1">
        <f t="shared" si="10"/>
        <v>8.6413687289010523E-3</v>
      </c>
      <c r="H199" s="1">
        <f t="shared" si="6"/>
        <v>1.4215051559042232E-2</v>
      </c>
      <c r="I199">
        <f t="shared" si="7"/>
        <v>14215.051559042233</v>
      </c>
      <c r="J199">
        <f t="shared" si="8"/>
        <v>31785.821589682801</v>
      </c>
    </row>
    <row r="200" spans="1:10" x14ac:dyDescent="0.45">
      <c r="A200">
        <v>1.1095835361629725E-5</v>
      </c>
      <c r="B200">
        <f t="shared" si="11"/>
        <v>1.2311756237239264E-10</v>
      </c>
      <c r="F200">
        <f t="shared" si="9"/>
        <v>7.2722890949949613E-5</v>
      </c>
      <c r="G200" s="1">
        <f t="shared" si="10"/>
        <v>8.5277717458870587E-3</v>
      </c>
      <c r="H200" s="1">
        <f t="shared" si="6"/>
        <v>1.4028184521984212E-2</v>
      </c>
      <c r="I200">
        <f t="shared" si="7"/>
        <v>14028.184521984213</v>
      </c>
      <c r="J200">
        <f t="shared" si="8"/>
        <v>31367.974192067093</v>
      </c>
    </row>
    <row r="201" spans="1:10" x14ac:dyDescent="0.45">
      <c r="A201">
        <v>-7.1162048698170111E-3</v>
      </c>
      <c r="B201">
        <f t="shared" si="11"/>
        <v>5.0640371749207341E-5</v>
      </c>
      <c r="F201">
        <f t="shared" si="9"/>
        <v>7.0540046240017456E-5</v>
      </c>
      <c r="G201" s="1">
        <f t="shared" si="10"/>
        <v>8.3988121922101248E-3</v>
      </c>
      <c r="H201" s="1">
        <f t="shared" si="6"/>
        <v>1.3816046056185655E-2</v>
      </c>
      <c r="I201">
        <f t="shared" si="7"/>
        <v>13816.046056185656</v>
      </c>
      <c r="J201">
        <f t="shared" si="8"/>
        <v>30893.618161899009</v>
      </c>
    </row>
    <row r="202" spans="1:10" x14ac:dyDescent="0.45">
      <c r="A202">
        <v>1.8286937120137736E-2</v>
      </c>
      <c r="B202">
        <f t="shared" si="11"/>
        <v>3.3441206923587145E-4</v>
      </c>
      <c r="F202">
        <f t="shared" si="9"/>
        <v>6.9940956518650714E-5</v>
      </c>
      <c r="G202" s="1">
        <f t="shared" si="10"/>
        <v>8.3630709980634932E-3</v>
      </c>
      <c r="H202" s="1">
        <f t="shared" si="6"/>
        <v>1.3757251791814447E-2</v>
      </c>
      <c r="I202">
        <f t="shared" si="7"/>
        <v>13757.251791814448</v>
      </c>
      <c r="J202">
        <f t="shared" si="8"/>
        <v>30762.150190077893</v>
      </c>
    </row>
    <row r="203" spans="1:10" x14ac:dyDescent="0.45">
      <c r="A203">
        <v>4.025537236884702E-3</v>
      </c>
      <c r="B203">
        <f t="shared" si="11"/>
        <v>1.6204950045545322E-5</v>
      </c>
      <c r="F203">
        <f t="shared" si="9"/>
        <v>7.7873115695328417E-5</v>
      </c>
      <c r="G203" s="1">
        <f t="shared" si="10"/>
        <v>8.824574533388474E-3</v>
      </c>
      <c r="H203" s="1">
        <f t="shared" si="6"/>
        <v>1.451642510742404E-2</v>
      </c>
      <c r="I203">
        <f t="shared" si="7"/>
        <v>14516.42510742404</v>
      </c>
      <c r="J203">
        <f t="shared" si="8"/>
        <v>32459.713330484843</v>
      </c>
    </row>
    <row r="204" spans="1:10" x14ac:dyDescent="0.45">
      <c r="A204">
        <v>-3.3604237614781596E-3</v>
      </c>
      <c r="B204">
        <f t="shared" si="11"/>
        <v>1.1292447856707023E-5</v>
      </c>
      <c r="F204">
        <f t="shared" si="9"/>
        <v>7.6016158743506674E-5</v>
      </c>
      <c r="G204" s="1">
        <f t="shared" si="10"/>
        <v>8.7187246053254067E-3</v>
      </c>
      <c r="H204" s="1">
        <f t="shared" si="6"/>
        <v>1.4342301975760294E-2</v>
      </c>
      <c r="I204">
        <f t="shared" si="7"/>
        <v>14342.301975760294</v>
      </c>
      <c r="J204">
        <f t="shared" si="8"/>
        <v>32070.36217162956</v>
      </c>
    </row>
    <row r="205" spans="1:10" x14ac:dyDescent="0.45">
      <c r="A205">
        <v>-9.3948074209038168E-3</v>
      </c>
      <c r="B205">
        <f t="shared" si="11"/>
        <v>8.8262406475869432E-5</v>
      </c>
      <c r="F205">
        <f t="shared" si="9"/>
        <v>7.4072013141946005E-5</v>
      </c>
      <c r="G205" s="1">
        <f t="shared" si="10"/>
        <v>8.6065099280687521E-3</v>
      </c>
      <c r="H205" s="1">
        <f t="shared" si="6"/>
        <v>1.4157708831673098E-2</v>
      </c>
      <c r="I205">
        <f t="shared" si="7"/>
        <v>14157.708831673099</v>
      </c>
      <c r="J205">
        <f t="shared" si="8"/>
        <v>31657.59935327018</v>
      </c>
    </row>
    <row r="206" spans="1:10" x14ac:dyDescent="0.45">
      <c r="A206">
        <v>1.7006868802127428E-3</v>
      </c>
      <c r="B206">
        <f t="shared" si="11"/>
        <v>2.8923358645277522E-6</v>
      </c>
      <c r="F206">
        <f t="shared" si="9"/>
        <v>7.4495627970147559E-5</v>
      </c>
      <c r="G206" s="1">
        <f t="shared" si="10"/>
        <v>8.6310849822109591E-3</v>
      </c>
      <c r="H206" s="1">
        <f t="shared" si="6"/>
        <v>1.4198134795737028E-2</v>
      </c>
      <c r="I206">
        <f t="shared" si="7"/>
        <v>14198.134795737027</v>
      </c>
      <c r="J206">
        <f t="shared" si="8"/>
        <v>31747.994556973084</v>
      </c>
    </row>
    <row r="207" spans="1:10" x14ac:dyDescent="0.45">
      <c r="A207">
        <v>1.3554881661548279E-3</v>
      </c>
      <c r="B207">
        <f t="shared" si="11"/>
        <v>1.8373481685857783E-6</v>
      </c>
      <c r="F207">
        <f t="shared" si="9"/>
        <v>7.2305378547636793E-5</v>
      </c>
      <c r="G207" s="1">
        <f t="shared" si="10"/>
        <v>8.503256937646704E-3</v>
      </c>
      <c r="H207" s="1">
        <f t="shared" si="6"/>
        <v>1.3987857662428828E-2</v>
      </c>
      <c r="I207">
        <f t="shared" si="7"/>
        <v>13987.857662428829</v>
      </c>
      <c r="J207">
        <f t="shared" si="8"/>
        <v>31277.800592782169</v>
      </c>
    </row>
    <row r="208" spans="1:10" x14ac:dyDescent="0.45">
      <c r="A208">
        <v>8.4242856246419251E-3</v>
      </c>
      <c r="B208">
        <f t="shared" si="11"/>
        <v>7.0968588285548587E-5</v>
      </c>
      <c r="F208">
        <f t="shared" si="9"/>
        <v>7.0102078042407756E-5</v>
      </c>
      <c r="G208" s="1">
        <f t="shared" si="10"/>
        <v>8.3726983728310521E-3</v>
      </c>
      <c r="H208" s="1">
        <f t="shared" si="6"/>
        <v>1.3773088823307082E-2</v>
      </c>
      <c r="I208">
        <f t="shared" si="7"/>
        <v>13773.088823307082</v>
      </c>
      <c r="J208">
        <f t="shared" si="8"/>
        <v>30797.562869057227</v>
      </c>
    </row>
    <row r="209" spans="1:10" x14ac:dyDescent="0.45">
      <c r="A209">
        <v>9.1351239461801015E-3</v>
      </c>
      <c r="B209">
        <f t="shared" si="11"/>
        <v>8.3450489512073111E-5</v>
      </c>
      <c r="F209">
        <f t="shared" si="9"/>
        <v>7.0104495061074429E-5</v>
      </c>
      <c r="G209" s="1">
        <f t="shared" si="10"/>
        <v>8.3728427108763024E-3</v>
      </c>
      <c r="H209" s="1">
        <f t="shared" si="6"/>
        <v>1.3773326259391518E-2</v>
      </c>
      <c r="I209">
        <f t="shared" si="7"/>
        <v>13773.326259391517</v>
      </c>
      <c r="J209">
        <f t="shared" si="8"/>
        <v>30798.093792282336</v>
      </c>
    </row>
    <row r="210" spans="1:10" x14ac:dyDescent="0.45">
      <c r="A210">
        <v>1.0955795914924238E-2</v>
      </c>
      <c r="B210">
        <f t="shared" si="11"/>
        <v>1.2002946412947061E-4</v>
      </c>
      <c r="F210">
        <f t="shared" si="9"/>
        <v>7.0504503382355521E-5</v>
      </c>
      <c r="G210" s="1">
        <f t="shared" si="10"/>
        <v>8.3966959801076227E-3</v>
      </c>
      <c r="H210" s="1">
        <f t="shared" si="6"/>
        <v>1.3812564887277039E-2</v>
      </c>
      <c r="I210">
        <f t="shared" si="7"/>
        <v>13812.56488727704</v>
      </c>
      <c r="J210">
        <f t="shared" si="8"/>
        <v>30885.834031578182</v>
      </c>
    </row>
    <row r="211" spans="1:10" x14ac:dyDescent="0.45">
      <c r="A211">
        <v>8.3178520071669482E-3</v>
      </c>
      <c r="B211">
        <f t="shared" si="11"/>
        <v>6.9186662013131229E-5</v>
      </c>
      <c r="F211">
        <f t="shared" si="9"/>
        <v>7.1984696702588207E-5</v>
      </c>
      <c r="G211" s="1">
        <f t="shared" si="10"/>
        <v>8.484379570869529E-3</v>
      </c>
      <c r="H211" s="1">
        <f t="shared" si="6"/>
        <v>1.3956804394080376E-2</v>
      </c>
      <c r="I211">
        <f t="shared" si="7"/>
        <v>13956.804394080376</v>
      </c>
      <c r="J211">
        <f t="shared" si="8"/>
        <v>31208.363373831486</v>
      </c>
    </row>
    <row r="212" spans="1:10" x14ac:dyDescent="0.45">
      <c r="A212">
        <v>-8.8712567958282307E-3</v>
      </c>
      <c r="B212">
        <f t="shared" si="11"/>
        <v>7.8699197137528564E-5</v>
      </c>
      <c r="F212">
        <f t="shared" si="9"/>
        <v>7.1877032199643495E-5</v>
      </c>
      <c r="G212" s="1">
        <f t="shared" si="10"/>
        <v>8.4780323306557111E-3</v>
      </c>
      <c r="H212" s="1">
        <f t="shared" si="6"/>
        <v>1.3946363183928645E-2</v>
      </c>
      <c r="I212">
        <f t="shared" si="7"/>
        <v>13946.363183928645</v>
      </c>
      <c r="J212">
        <f t="shared" si="8"/>
        <v>31185.016118164855</v>
      </c>
    </row>
    <row r="213" spans="1:10" x14ac:dyDescent="0.45">
      <c r="A213">
        <v>7.608787200297229E-3</v>
      </c>
      <c r="B213">
        <f t="shared" si="11"/>
        <v>5.7893642659406942E-5</v>
      </c>
      <c r="F213">
        <f t="shared" si="9"/>
        <v>7.2031022735407404E-5</v>
      </c>
      <c r="G213" s="1">
        <f t="shared" si="10"/>
        <v>8.4871092095841101E-3</v>
      </c>
      <c r="H213" s="1">
        <f t="shared" si="6"/>
        <v>1.3961294649765862E-2</v>
      </c>
      <c r="I213">
        <f t="shared" si="7"/>
        <v>13961.294649765861</v>
      </c>
      <c r="J213">
        <f t="shared" si="8"/>
        <v>31218.403890780584</v>
      </c>
    </row>
    <row r="214" spans="1:10" x14ac:dyDescent="0.45">
      <c r="A214">
        <v>-7.6189962783246301E-3</v>
      </c>
      <c r="B214">
        <f t="shared" si="11"/>
        <v>5.8049104289124563E-5</v>
      </c>
      <c r="F214">
        <f t="shared" si="9"/>
        <v>7.1605135691930256E-5</v>
      </c>
      <c r="G214" s="1">
        <f t="shared" si="10"/>
        <v>8.461981782769936E-3</v>
      </c>
      <c r="H214" s="1">
        <f t="shared" si="6"/>
        <v>1.3919960032656544E-2</v>
      </c>
      <c r="I214">
        <f t="shared" si="7"/>
        <v>13919.960032656545</v>
      </c>
      <c r="J214">
        <f t="shared" si="8"/>
        <v>31125.976877100227</v>
      </c>
    </row>
    <row r="215" spans="1:10" x14ac:dyDescent="0.45">
      <c r="A215">
        <v>-6.3924971982487477E-3</v>
      </c>
      <c r="B215">
        <f t="shared" si="11"/>
        <v>4.0864020429618087E-5</v>
      </c>
      <c r="F215">
        <f t="shared" si="9"/>
        <v>7.1198445529223572E-5</v>
      </c>
      <c r="G215" s="1">
        <f t="shared" si="10"/>
        <v>8.4379171321614412E-3</v>
      </c>
      <c r="H215" s="1">
        <f t="shared" si="6"/>
        <v>1.3880373682405571E-2</v>
      </c>
      <c r="I215">
        <f t="shared" si="7"/>
        <v>13880.37368240557</v>
      </c>
      <c r="J215">
        <f t="shared" si="8"/>
        <v>31037.459106957933</v>
      </c>
    </row>
    <row r="216" spans="1:10" x14ac:dyDescent="0.45">
      <c r="A216">
        <v>-1.0926555660262238E-3</v>
      </c>
      <c r="B216">
        <f t="shared" si="11"/>
        <v>1.1938961859680877E-6</v>
      </c>
      <c r="F216">
        <f t="shared" si="9"/>
        <v>7.0268726990002146E-5</v>
      </c>
      <c r="G216" s="1">
        <f t="shared" si="10"/>
        <v>8.3826443912408781E-3</v>
      </c>
      <c r="H216" s="1">
        <f t="shared" si="6"/>
        <v>1.3789450023591245E-2</v>
      </c>
      <c r="I216">
        <f t="shared" si="7"/>
        <v>13789.450023591246</v>
      </c>
      <c r="J216">
        <f t="shared" si="8"/>
        <v>30834.147625086105</v>
      </c>
    </row>
    <row r="217" spans="1:10" x14ac:dyDescent="0.45">
      <c r="A217">
        <v>-1.212906681757886E-2</v>
      </c>
      <c r="B217">
        <f t="shared" si="11"/>
        <v>1.4711426186529255E-4</v>
      </c>
      <c r="F217">
        <f t="shared" si="9"/>
        <v>6.8195195153177872E-5</v>
      </c>
      <c r="G217" s="1">
        <f t="shared" si="10"/>
        <v>8.258038214562698E-3</v>
      </c>
      <c r="H217" s="1">
        <f t="shared" si="6"/>
        <v>1.3584472862955638E-2</v>
      </c>
      <c r="I217">
        <f t="shared" si="7"/>
        <v>13584.472862955638</v>
      </c>
      <c r="J217">
        <f t="shared" si="8"/>
        <v>30375.80476006999</v>
      </c>
    </row>
    <row r="218" spans="1:10" x14ac:dyDescent="0.45">
      <c r="A218">
        <v>-2.3890152078820392E-3</v>
      </c>
      <c r="B218">
        <f t="shared" si="11"/>
        <v>5.707393663491663E-6</v>
      </c>
      <c r="F218">
        <f t="shared" si="9"/>
        <v>7.0390010118082216E-5</v>
      </c>
      <c r="G218" s="1">
        <f t="shared" si="10"/>
        <v>8.3898754530733182E-3</v>
      </c>
      <c r="H218" s="1">
        <f t="shared" ref="H218:H281" si="12">G218*$H$1</f>
        <v>1.3801345120305609E-2</v>
      </c>
      <c r="I218">
        <f t="shared" ref="I218:I281" si="13">H218*$K$1</f>
        <v>13801.345120305608</v>
      </c>
      <c r="J218">
        <f t="shared" ref="J218:J281" si="14">I218*SQRT($K$2)</f>
        <v>30860.745869938353</v>
      </c>
    </row>
    <row r="219" spans="1:10" x14ac:dyDescent="0.45">
      <c r="A219">
        <v>-5.6774524637148716E-3</v>
      </c>
      <c r="B219">
        <f t="shared" si="11"/>
        <v>3.2233466477742062E-5</v>
      </c>
      <c r="F219">
        <f t="shared" ref="F219:F282" si="15">(1-$E$1)*SUMPRODUCT($E$2:$E$152,B68:B218)</f>
        <v>6.8447837635354352E-5</v>
      </c>
      <c r="G219" s="1">
        <f t="shared" ref="G219:G282" si="16">SQRT(F219)</f>
        <v>8.2733208347890354E-3</v>
      </c>
      <c r="H219" s="1">
        <f t="shared" si="12"/>
        <v>1.3609612773227963E-2</v>
      </c>
      <c r="I219">
        <f t="shared" si="13"/>
        <v>13609.612773227962</v>
      </c>
      <c r="J219">
        <f t="shared" si="14"/>
        <v>30432.019308387153</v>
      </c>
    </row>
    <row r="220" spans="1:10" x14ac:dyDescent="0.45">
      <c r="A220">
        <v>-6.9535644797724672E-3</v>
      </c>
      <c r="B220">
        <f t="shared" si="11"/>
        <v>4.8352058974353342E-5</v>
      </c>
      <c r="F220">
        <f t="shared" si="15"/>
        <v>6.7288462146026495E-5</v>
      </c>
      <c r="G220" s="1">
        <f t="shared" si="16"/>
        <v>8.202954476652086E-3</v>
      </c>
      <c r="H220" s="1">
        <f t="shared" si="12"/>
        <v>1.3493860114092681E-2</v>
      </c>
      <c r="I220">
        <f t="shared" si="13"/>
        <v>13493.860114092682</v>
      </c>
      <c r="J220">
        <f t="shared" si="14"/>
        <v>30173.188493984308</v>
      </c>
    </row>
    <row r="221" spans="1:10" x14ac:dyDescent="0.45">
      <c r="A221">
        <v>-1.0011262929765508E-3</v>
      </c>
      <c r="B221">
        <f t="shared" si="11"/>
        <v>1.0022538544889705E-6</v>
      </c>
      <c r="F221">
        <f t="shared" si="15"/>
        <v>6.6718938892512911E-5</v>
      </c>
      <c r="G221" s="1">
        <f t="shared" si="16"/>
        <v>8.1681661890850941E-3</v>
      </c>
      <c r="H221" s="1">
        <f t="shared" si="12"/>
        <v>1.343663338104498E-2</v>
      </c>
      <c r="I221">
        <f t="shared" si="13"/>
        <v>13436.63338104498</v>
      </c>
      <c r="J221">
        <f t="shared" si="14"/>
        <v>30045.22562875941</v>
      </c>
    </row>
    <row r="222" spans="1:10" x14ac:dyDescent="0.45">
      <c r="A222">
        <v>-2.838669388438575E-3</v>
      </c>
      <c r="B222">
        <f t="shared" si="11"/>
        <v>8.058043896858233E-6</v>
      </c>
      <c r="F222">
        <f t="shared" si="15"/>
        <v>6.4704578426714752E-5</v>
      </c>
      <c r="G222" s="1">
        <f t="shared" si="16"/>
        <v>8.0439156153402532E-3</v>
      </c>
      <c r="H222" s="1">
        <f t="shared" si="12"/>
        <v>1.3232241187234716E-2</v>
      </c>
      <c r="I222">
        <f t="shared" si="13"/>
        <v>13232.241187234717</v>
      </c>
      <c r="J222">
        <f t="shared" si="14"/>
        <v>29588.19078932935</v>
      </c>
    </row>
    <row r="223" spans="1:10" x14ac:dyDescent="0.45">
      <c r="A223">
        <v>8.7808984972070903E-3</v>
      </c>
      <c r="B223">
        <f t="shared" si="11"/>
        <v>7.7104178418253735E-5</v>
      </c>
      <c r="F223">
        <f t="shared" si="15"/>
        <v>6.2916477021550277E-5</v>
      </c>
      <c r="G223" s="1">
        <f t="shared" si="16"/>
        <v>7.931990735089791E-3</v>
      </c>
      <c r="H223" s="1">
        <f t="shared" si="12"/>
        <v>1.3048124759222707E-2</v>
      </c>
      <c r="I223">
        <f t="shared" si="13"/>
        <v>13048.124759222706</v>
      </c>
      <c r="J223">
        <f t="shared" si="14"/>
        <v>29176.493940520049</v>
      </c>
    </row>
    <row r="224" spans="1:10" x14ac:dyDescent="0.45">
      <c r="A224">
        <v>2.6179350243182853E-3</v>
      </c>
      <c r="B224">
        <f t="shared" si="11"/>
        <v>6.8535837915523808E-6</v>
      </c>
      <c r="F224">
        <f t="shared" si="15"/>
        <v>6.3341264503834907E-5</v>
      </c>
      <c r="G224" s="1">
        <f t="shared" si="16"/>
        <v>7.9587225422070654E-3</v>
      </c>
      <c r="H224" s="1">
        <f t="shared" si="12"/>
        <v>1.3092098581930623E-2</v>
      </c>
      <c r="I224">
        <f t="shared" si="13"/>
        <v>13092.098581930624</v>
      </c>
      <c r="J224">
        <f t="shared" si="14"/>
        <v>29274.822397325479</v>
      </c>
    </row>
    <row r="225" spans="1:10" x14ac:dyDescent="0.45">
      <c r="A225">
        <v>4.0899976738728583E-4</v>
      </c>
      <c r="B225">
        <f t="shared" si="11"/>
        <v>1.6728080972285392E-7</v>
      </c>
      <c r="F225">
        <f t="shared" si="15"/>
        <v>6.1587159107268964E-5</v>
      </c>
      <c r="G225" s="1">
        <f t="shared" si="16"/>
        <v>7.8477486648891193E-3</v>
      </c>
      <c r="H225" s="1">
        <f t="shared" si="12"/>
        <v>1.2909546553742601E-2</v>
      </c>
      <c r="I225">
        <f t="shared" si="13"/>
        <v>12909.546553742601</v>
      </c>
      <c r="J225">
        <f t="shared" si="14"/>
        <v>28866.623652866598</v>
      </c>
    </row>
    <row r="226" spans="1:10" x14ac:dyDescent="0.45">
      <c r="A226">
        <v>2.5392728275619447E-2</v>
      </c>
      <c r="B226">
        <f t="shared" si="11"/>
        <v>6.4479064927944337E-4</v>
      </c>
      <c r="F226">
        <f t="shared" si="15"/>
        <v>5.9723966033598178E-5</v>
      </c>
      <c r="G226" s="1">
        <f t="shared" si="16"/>
        <v>7.728128236099488E-3</v>
      </c>
      <c r="H226" s="1">
        <f t="shared" si="12"/>
        <v>1.2712770948383658E-2</v>
      </c>
      <c r="I226">
        <f t="shared" si="13"/>
        <v>12712.770948383659</v>
      </c>
      <c r="J226">
        <f t="shared" si="14"/>
        <v>28426.620022970332</v>
      </c>
    </row>
    <row r="227" spans="1:10" x14ac:dyDescent="0.45">
      <c r="A227">
        <v>-1.1622728379734326E-2</v>
      </c>
      <c r="B227">
        <f t="shared" si="11"/>
        <v>1.3508781498908172E-4</v>
      </c>
      <c r="F227">
        <f t="shared" si="15"/>
        <v>7.7274448581795155E-5</v>
      </c>
      <c r="G227" s="1">
        <f t="shared" si="16"/>
        <v>8.7905886368203554E-3</v>
      </c>
      <c r="H227" s="1">
        <f t="shared" si="12"/>
        <v>1.4460518307569484E-2</v>
      </c>
      <c r="I227">
        <f t="shared" si="13"/>
        <v>14460.518307569484</v>
      </c>
      <c r="J227">
        <f t="shared" si="14"/>
        <v>32334.701925605579</v>
      </c>
    </row>
    <row r="228" spans="1:10" x14ac:dyDescent="0.45">
      <c r="A228">
        <v>1.3260591913422104E-2</v>
      </c>
      <c r="B228">
        <f t="shared" si="11"/>
        <v>1.758432978943157E-4</v>
      </c>
      <c r="F228">
        <f t="shared" si="15"/>
        <v>7.8983821249016924E-5</v>
      </c>
      <c r="G228" s="1">
        <f t="shared" si="16"/>
        <v>8.8872842448645094E-3</v>
      </c>
      <c r="H228" s="1">
        <f t="shared" si="12"/>
        <v>1.4619582582802118E-2</v>
      </c>
      <c r="I228">
        <f t="shared" si="13"/>
        <v>14619.582582802119</v>
      </c>
      <c r="J228">
        <f t="shared" si="14"/>
        <v>32690.380457817486</v>
      </c>
    </row>
    <row r="229" spans="1:10" x14ac:dyDescent="0.45">
      <c r="A229">
        <v>1.9330946088302881E-2</v>
      </c>
      <c r="B229">
        <f t="shared" si="11"/>
        <v>3.7368547666887246E-4</v>
      </c>
      <c r="F229">
        <f t="shared" si="15"/>
        <v>8.1889546413581619E-5</v>
      </c>
      <c r="G229" s="1">
        <f t="shared" si="16"/>
        <v>9.0492843039425841E-3</v>
      </c>
      <c r="H229" s="1">
        <f t="shared" si="12"/>
        <v>1.4886072679985551E-2</v>
      </c>
      <c r="I229">
        <f t="shared" si="13"/>
        <v>14886.072679985551</v>
      </c>
      <c r="J229">
        <f t="shared" si="14"/>
        <v>33286.270430450168</v>
      </c>
    </row>
    <row r="230" spans="1:10" x14ac:dyDescent="0.45">
      <c r="A230">
        <v>-7.5232264862279408E-3</v>
      </c>
      <c r="B230">
        <f t="shared" si="11"/>
        <v>5.6598936763081611E-5</v>
      </c>
      <c r="F230">
        <f t="shared" si="15"/>
        <v>9.0607708016660445E-5</v>
      </c>
      <c r="G230" s="1">
        <f t="shared" si="16"/>
        <v>9.5188081195420916E-3</v>
      </c>
      <c r="H230" s="1">
        <f t="shared" si="12"/>
        <v>1.565843935664674E-2</v>
      </c>
      <c r="I230">
        <f t="shared" si="13"/>
        <v>15658.439356646739</v>
      </c>
      <c r="J230">
        <f t="shared" si="14"/>
        <v>35013.334823020181</v>
      </c>
    </row>
    <row r="231" spans="1:10" x14ac:dyDescent="0.45">
      <c r="A231">
        <v>-4.7255070967366919E-4</v>
      </c>
      <c r="B231">
        <f t="shared" si="11"/>
        <v>2.2330417321308839E-7</v>
      </c>
      <c r="F231">
        <f t="shared" si="15"/>
        <v>8.9477978313874096E-5</v>
      </c>
      <c r="G231" s="1">
        <f t="shared" si="16"/>
        <v>9.4592800103323986E-3</v>
      </c>
      <c r="H231" s="1">
        <f t="shared" si="12"/>
        <v>1.5560515616996796E-2</v>
      </c>
      <c r="I231">
        <f t="shared" si="13"/>
        <v>15560.515616996796</v>
      </c>
      <c r="J231">
        <f t="shared" si="14"/>
        <v>34794.370684551919</v>
      </c>
    </row>
    <row r="232" spans="1:10" x14ac:dyDescent="0.45">
      <c r="A232">
        <v>-1.3500266504706815E-2</v>
      </c>
      <c r="B232">
        <f t="shared" si="11"/>
        <v>1.8225719569810877E-4</v>
      </c>
      <c r="F232">
        <f t="shared" si="15"/>
        <v>8.6795506421073409E-5</v>
      </c>
      <c r="G232" s="1">
        <f t="shared" si="16"/>
        <v>9.3164105974926532E-3</v>
      </c>
      <c r="H232" s="1">
        <f t="shared" si="12"/>
        <v>1.5325495432875414E-2</v>
      </c>
      <c r="I232">
        <f t="shared" si="13"/>
        <v>15325.495432875414</v>
      </c>
      <c r="J232">
        <f t="shared" si="14"/>
        <v>34268.849576771994</v>
      </c>
    </row>
    <row r="233" spans="1:10" x14ac:dyDescent="0.45">
      <c r="A233">
        <v>-2.2130620891402941E-3</v>
      </c>
      <c r="B233">
        <f t="shared" si="11"/>
        <v>4.8976438103900034E-6</v>
      </c>
      <c r="F233">
        <f t="shared" si="15"/>
        <v>8.9643207371646339E-5</v>
      </c>
      <c r="G233" s="1">
        <f t="shared" si="16"/>
        <v>9.4680096837533034E-3</v>
      </c>
      <c r="H233" s="1">
        <f t="shared" si="12"/>
        <v>1.5574875929774185E-2</v>
      </c>
      <c r="I233">
        <f t="shared" si="13"/>
        <v>15574.875929774185</v>
      </c>
      <c r="J233">
        <f t="shared" si="14"/>
        <v>34826.48132010032</v>
      </c>
    </row>
    <row r="234" spans="1:10" x14ac:dyDescent="0.45">
      <c r="A234">
        <v>5.4541715144296177E-3</v>
      </c>
      <c r="B234">
        <f t="shared" si="11"/>
        <v>2.9747986908815468E-5</v>
      </c>
      <c r="F234">
        <f t="shared" si="15"/>
        <v>8.7074694941124042E-5</v>
      </c>
      <c r="G234" s="1">
        <f t="shared" si="16"/>
        <v>9.3313822631550161E-3</v>
      </c>
      <c r="H234" s="1">
        <f t="shared" si="12"/>
        <v>1.5350123822890001E-2</v>
      </c>
      <c r="I234">
        <f t="shared" si="13"/>
        <v>15350.123822890002</v>
      </c>
      <c r="J234">
        <f t="shared" si="14"/>
        <v>34323.920331020985</v>
      </c>
    </row>
    <row r="235" spans="1:10" x14ac:dyDescent="0.45">
      <c r="A235">
        <v>-2.2923131837160327E-3</v>
      </c>
      <c r="B235">
        <f t="shared" si="11"/>
        <v>5.254699732238334E-6</v>
      </c>
      <c r="F235">
        <f t="shared" si="15"/>
        <v>8.5321038330714056E-5</v>
      </c>
      <c r="G235" s="1">
        <f t="shared" si="16"/>
        <v>9.2369387965231236E-3</v>
      </c>
      <c r="H235" s="1">
        <f t="shared" si="12"/>
        <v>1.5194764320280538E-2</v>
      </c>
      <c r="I235">
        <f t="shared" si="13"/>
        <v>15194.764320280538</v>
      </c>
      <c r="J235">
        <f t="shared" si="14"/>
        <v>33976.525922235669</v>
      </c>
    </row>
    <row r="236" spans="1:10" x14ac:dyDescent="0.45">
      <c r="A236">
        <v>1.1975657798757311E-2</v>
      </c>
      <c r="B236">
        <f t="shared" si="11"/>
        <v>1.4341637971293679E-4</v>
      </c>
      <c r="F236">
        <f t="shared" si="15"/>
        <v>8.2918942397988146E-5</v>
      </c>
      <c r="G236" s="1">
        <f t="shared" si="16"/>
        <v>9.1059838786365175E-3</v>
      </c>
      <c r="H236" s="1">
        <f t="shared" si="12"/>
        <v>1.4979343480357071E-2</v>
      </c>
      <c r="I236">
        <f t="shared" si="13"/>
        <v>14979.343480357071</v>
      </c>
      <c r="J236">
        <f t="shared" si="14"/>
        <v>33494.830280396694</v>
      </c>
    </row>
    <row r="237" spans="1:10" x14ac:dyDescent="0.45">
      <c r="A237">
        <v>-8.7371290646842681E-3</v>
      </c>
      <c r="B237">
        <f t="shared" si="11"/>
        <v>7.6337424292950598E-5</v>
      </c>
      <c r="F237">
        <f t="shared" si="15"/>
        <v>8.4729570007510113E-5</v>
      </c>
      <c r="G237" s="1">
        <f t="shared" si="16"/>
        <v>9.2048666480025725E-3</v>
      </c>
      <c r="H237" s="1">
        <f t="shared" si="12"/>
        <v>1.5142005635964233E-2</v>
      </c>
      <c r="I237">
        <f t="shared" si="13"/>
        <v>15142.005635964233</v>
      </c>
      <c r="J237">
        <f t="shared" si="14"/>
        <v>33858.553917700963</v>
      </c>
    </row>
    <row r="238" spans="1:10" x14ac:dyDescent="0.45">
      <c r="A238">
        <v>-1.0493545232748147E-2</v>
      </c>
      <c r="B238">
        <f t="shared" si="11"/>
        <v>1.1011449155173136E-4</v>
      </c>
      <c r="F238">
        <f t="shared" si="15"/>
        <v>8.4444754156062706E-5</v>
      </c>
      <c r="G238" s="1">
        <f t="shared" si="16"/>
        <v>9.1893826863431206E-3</v>
      </c>
      <c r="H238" s="1">
        <f t="shared" si="12"/>
        <v>1.5116534519034434E-2</v>
      </c>
      <c r="I238">
        <f t="shared" si="13"/>
        <v>15116.534519034434</v>
      </c>
      <c r="J238">
        <f t="shared" si="14"/>
        <v>33801.598768783086</v>
      </c>
    </row>
    <row r="239" spans="1:10" x14ac:dyDescent="0.45">
      <c r="A239">
        <v>1.5242540030158125E-2</v>
      </c>
      <c r="B239">
        <f t="shared" si="11"/>
        <v>2.3233502657097284E-4</v>
      </c>
      <c r="F239">
        <f t="shared" si="15"/>
        <v>8.519923251399285E-5</v>
      </c>
      <c r="G239" s="1">
        <f t="shared" si="16"/>
        <v>9.2303430333868335E-3</v>
      </c>
      <c r="H239" s="1">
        <f t="shared" si="12"/>
        <v>1.5183914289921342E-2</v>
      </c>
      <c r="I239">
        <f t="shared" si="13"/>
        <v>15183.914289921342</v>
      </c>
      <c r="J239">
        <f t="shared" si="14"/>
        <v>33952.264516794574</v>
      </c>
    </row>
    <row r="240" spans="1:10" x14ac:dyDescent="0.45">
      <c r="A240">
        <v>-6.9399447966134176E-3</v>
      </c>
      <c r="B240">
        <f t="shared" si="11"/>
        <v>4.8162833780041649E-5</v>
      </c>
      <c r="F240">
        <f t="shared" si="15"/>
        <v>8.9575847216618606E-5</v>
      </c>
      <c r="G240" s="1">
        <f t="shared" si="16"/>
        <v>9.4644517652433847E-3</v>
      </c>
      <c r="H240" s="1">
        <f t="shared" si="12"/>
        <v>1.5569023153825369E-2</v>
      </c>
      <c r="I240">
        <f t="shared" si="13"/>
        <v>15569.023153825368</v>
      </c>
      <c r="J240">
        <f t="shared" si="14"/>
        <v>34813.394115221687</v>
      </c>
    </row>
    <row r="241" spans="1:10" x14ac:dyDescent="0.45">
      <c r="A241">
        <v>1.0674352779460605E-2</v>
      </c>
      <c r="B241">
        <f t="shared" si="11"/>
        <v>1.1394180726037835E-4</v>
      </c>
      <c r="F241">
        <f t="shared" si="15"/>
        <v>8.8323040150955804E-5</v>
      </c>
      <c r="G241" s="1">
        <f t="shared" si="16"/>
        <v>9.3980338449569222E-3</v>
      </c>
      <c r="H241" s="1">
        <f t="shared" si="12"/>
        <v>1.5459765674954138E-2</v>
      </c>
      <c r="I241">
        <f t="shared" si="13"/>
        <v>15459.765674954138</v>
      </c>
      <c r="J241">
        <f t="shared" si="14"/>
        <v>34569.086965415372</v>
      </c>
    </row>
    <row r="242" spans="1:10" x14ac:dyDescent="0.45">
      <c r="A242">
        <v>-7.6128571890876628E-3</v>
      </c>
      <c r="B242">
        <f t="shared" si="11"/>
        <v>5.7955594581443708E-5</v>
      </c>
      <c r="F242">
        <f t="shared" si="15"/>
        <v>8.9087365393061236E-5</v>
      </c>
      <c r="G242" s="1">
        <f t="shared" si="16"/>
        <v>9.4386103528570995E-3</v>
      </c>
      <c r="H242" s="1">
        <f t="shared" si="12"/>
        <v>1.5526514030449929E-2</v>
      </c>
      <c r="I242">
        <f t="shared" si="13"/>
        <v>15526.514030449929</v>
      </c>
      <c r="J242">
        <f t="shared" si="14"/>
        <v>34718.340825690284</v>
      </c>
    </row>
    <row r="243" spans="1:10" x14ac:dyDescent="0.45">
      <c r="A243">
        <v>1.6425133253505919E-3</v>
      </c>
      <c r="B243">
        <f t="shared" si="11"/>
        <v>2.6978500239542594E-6</v>
      </c>
      <c r="F243">
        <f t="shared" si="15"/>
        <v>8.807331963921929E-5</v>
      </c>
      <c r="G243" s="1">
        <f t="shared" si="16"/>
        <v>9.3847386558827146E-3</v>
      </c>
      <c r="H243" s="1">
        <f t="shared" si="12"/>
        <v>1.5437895088927065E-2</v>
      </c>
      <c r="I243">
        <f t="shared" si="13"/>
        <v>15437.895088927065</v>
      </c>
      <c r="J243">
        <f t="shared" si="14"/>
        <v>34520.182848351084</v>
      </c>
    </row>
    <row r="244" spans="1:10" x14ac:dyDescent="0.45">
      <c r="A244">
        <v>1.0988060239469633E-3</v>
      </c>
      <c r="B244">
        <f t="shared" si="11"/>
        <v>1.2073746782621344E-6</v>
      </c>
      <c r="F244">
        <f t="shared" si="15"/>
        <v>8.5503465039158628E-5</v>
      </c>
      <c r="G244" s="1">
        <f t="shared" si="16"/>
        <v>9.2468083704140107E-3</v>
      </c>
      <c r="H244" s="1">
        <f t="shared" si="12"/>
        <v>1.5210999769331048E-2</v>
      </c>
      <c r="I244">
        <f t="shared" si="13"/>
        <v>15210.999769331047</v>
      </c>
      <c r="J244">
        <f t="shared" si="14"/>
        <v>34012.829489957847</v>
      </c>
    </row>
    <row r="245" spans="1:10" x14ac:dyDescent="0.45">
      <c r="A245">
        <v>-1.1869769878103398E-2</v>
      </c>
      <c r="B245">
        <f t="shared" si="11"/>
        <v>1.4089143695913075E-4</v>
      </c>
      <c r="F245">
        <f t="shared" si="15"/>
        <v>8.2968095635674248E-5</v>
      </c>
      <c r="G245" s="1">
        <f t="shared" si="16"/>
        <v>9.1086824313769028E-3</v>
      </c>
      <c r="H245" s="1">
        <f t="shared" si="12"/>
        <v>1.4983782599615005E-2</v>
      </c>
      <c r="I245">
        <f t="shared" si="13"/>
        <v>14983.782599615004</v>
      </c>
      <c r="J245">
        <f t="shared" si="14"/>
        <v>33504.756452817666</v>
      </c>
    </row>
    <row r="246" spans="1:10" x14ac:dyDescent="0.45">
      <c r="A246">
        <v>8.3785607785102911E-3</v>
      </c>
      <c r="B246">
        <f t="shared" si="11"/>
        <v>7.0200280719190974E-5</v>
      </c>
      <c r="F246">
        <f t="shared" si="15"/>
        <v>8.4696029210403482E-5</v>
      </c>
      <c r="G246" s="1">
        <f t="shared" si="16"/>
        <v>9.2030445620133496E-3</v>
      </c>
      <c r="H246" s="1">
        <f t="shared" si="12"/>
        <v>1.513900830451196E-2</v>
      </c>
      <c r="I246">
        <f t="shared" si="13"/>
        <v>15139.008304511959</v>
      </c>
      <c r="J246">
        <f t="shared" si="14"/>
        <v>33851.851680822576</v>
      </c>
    </row>
    <row r="247" spans="1:10" x14ac:dyDescent="0.45">
      <c r="A247">
        <v>-6.6613438320928253E-3</v>
      </c>
      <c r="B247">
        <f t="shared" si="11"/>
        <v>4.4373501649361127E-5</v>
      </c>
      <c r="F247">
        <f t="shared" si="15"/>
        <v>8.4259341310390643E-5</v>
      </c>
      <c r="G247" s="1">
        <f t="shared" si="16"/>
        <v>9.1792887148400906E-3</v>
      </c>
      <c r="H247" s="1">
        <f t="shared" si="12"/>
        <v>1.5099929935911948E-2</v>
      </c>
      <c r="I247">
        <f t="shared" si="13"/>
        <v>15099.929935911949</v>
      </c>
      <c r="J247">
        <f t="shared" si="14"/>
        <v>33764.469792183161</v>
      </c>
    </row>
    <row r="248" spans="1:10" x14ac:dyDescent="0.45">
      <c r="A248">
        <v>7.6815240390715189E-3</v>
      </c>
      <c r="B248">
        <f t="shared" si="11"/>
        <v>5.9005811562833621E-5</v>
      </c>
      <c r="F248">
        <f t="shared" si="15"/>
        <v>8.3033969274111605E-5</v>
      </c>
      <c r="G248" s="1">
        <f t="shared" si="16"/>
        <v>9.1122976945505682E-3</v>
      </c>
      <c r="H248" s="1">
        <f t="shared" si="12"/>
        <v>1.4989729707535685E-2</v>
      </c>
      <c r="I248">
        <f t="shared" si="13"/>
        <v>14989.729707535686</v>
      </c>
      <c r="J248">
        <f t="shared" si="14"/>
        <v>33518.054590397835</v>
      </c>
    </row>
    <row r="249" spans="1:10" x14ac:dyDescent="0.45">
      <c r="A249">
        <v>1.2670284377236385E-2</v>
      </c>
      <c r="B249">
        <f t="shared" si="11"/>
        <v>1.605361062000404E-4</v>
      </c>
      <c r="F249">
        <f t="shared" si="15"/>
        <v>8.2299366344119001E-5</v>
      </c>
      <c r="G249" s="1">
        <f t="shared" si="16"/>
        <v>9.0718998200001628E-3</v>
      </c>
      <c r="H249" s="1">
        <f t="shared" si="12"/>
        <v>1.4923275203900268E-2</v>
      </c>
      <c r="I249">
        <f t="shared" si="13"/>
        <v>14923.275203900268</v>
      </c>
      <c r="J249">
        <f t="shared" si="14"/>
        <v>33369.457802858036</v>
      </c>
    </row>
    <row r="250" spans="1:10" x14ac:dyDescent="0.45">
      <c r="A250">
        <v>1.1450106285337824E-2</v>
      </c>
      <c r="B250">
        <f t="shared" si="11"/>
        <v>1.3110493394553275E-4</v>
      </c>
      <c r="F250">
        <f t="shared" si="15"/>
        <v>8.4630212628965509E-5</v>
      </c>
      <c r="G250" s="1">
        <f t="shared" si="16"/>
        <v>9.1994680622830317E-3</v>
      </c>
      <c r="H250" s="1">
        <f t="shared" si="12"/>
        <v>1.5133124962455587E-2</v>
      </c>
      <c r="I250">
        <f t="shared" si="13"/>
        <v>15133.124962455588</v>
      </c>
      <c r="J250">
        <f t="shared" si="14"/>
        <v>33838.696128049647</v>
      </c>
    </row>
    <row r="251" spans="1:10" x14ac:dyDescent="0.45">
      <c r="A251">
        <v>-9.2483332991832867E-3</v>
      </c>
      <c r="B251">
        <f t="shared" si="11"/>
        <v>8.5531668812782423E-5</v>
      </c>
      <c r="F251">
        <f t="shared" si="15"/>
        <v>8.5927504361298879E-5</v>
      </c>
      <c r="G251" s="1">
        <f t="shared" si="16"/>
        <v>9.2697089685328787E-3</v>
      </c>
      <c r="H251" s="1">
        <f t="shared" si="12"/>
        <v>1.5248671253236586E-2</v>
      </c>
      <c r="I251">
        <f t="shared" si="13"/>
        <v>15248.671253236585</v>
      </c>
      <c r="J251">
        <f t="shared" si="14"/>
        <v>34097.065488783919</v>
      </c>
    </row>
    <row r="252" spans="1:10" x14ac:dyDescent="0.45">
      <c r="A252">
        <v>-3.1249896892404649E-3</v>
      </c>
      <c r="B252">
        <f t="shared" si="11"/>
        <v>9.7655605578592185E-6</v>
      </c>
      <c r="F252">
        <f t="shared" si="15"/>
        <v>8.5915533926092649E-5</v>
      </c>
      <c r="G252" s="1">
        <f t="shared" si="16"/>
        <v>9.2690632712314914E-3</v>
      </c>
      <c r="H252" s="1">
        <f t="shared" si="12"/>
        <v>1.5247609081175803E-2</v>
      </c>
      <c r="I252">
        <f t="shared" si="13"/>
        <v>15247.609081175802</v>
      </c>
      <c r="J252">
        <f t="shared" si="14"/>
        <v>34094.690399852203</v>
      </c>
    </row>
    <row r="253" spans="1:10" x14ac:dyDescent="0.45">
      <c r="A253">
        <v>3.8909320210223086E-4</v>
      </c>
      <c r="B253">
        <f t="shared" si="11"/>
        <v>1.5139351992216746E-7</v>
      </c>
      <c r="F253">
        <f t="shared" si="15"/>
        <v>8.3615287173720979E-5</v>
      </c>
      <c r="G253" s="1">
        <f t="shared" si="16"/>
        <v>9.1441394988113003E-3</v>
      </c>
      <c r="H253" s="1">
        <f t="shared" si="12"/>
        <v>1.504210947554459E-2</v>
      </c>
      <c r="I253">
        <f t="shared" si="13"/>
        <v>15042.10947554459</v>
      </c>
      <c r="J253">
        <f t="shared" si="14"/>
        <v>33635.179312311418</v>
      </c>
    </row>
    <row r="254" spans="1:10" x14ac:dyDescent="0.45">
      <c r="A254">
        <v>-9.1968331616953947E-3</v>
      </c>
      <c r="B254">
        <f t="shared" si="11"/>
        <v>8.458174020406011E-5</v>
      </c>
      <c r="F254">
        <f t="shared" si="15"/>
        <v>8.1010505326477276E-5</v>
      </c>
      <c r="G254" s="1">
        <f t="shared" si="16"/>
        <v>9.000583610326459E-3</v>
      </c>
      <c r="H254" s="1">
        <f t="shared" si="12"/>
        <v>1.4805960038987025E-2</v>
      </c>
      <c r="I254">
        <f t="shared" si="13"/>
        <v>14805.960038987025</v>
      </c>
      <c r="J254">
        <f t="shared" si="14"/>
        <v>33107.133119320424</v>
      </c>
    </row>
    <row r="255" spans="1:10" x14ac:dyDescent="0.45">
      <c r="A255">
        <v>2.1073446987429634E-3</v>
      </c>
      <c r="B255">
        <f t="shared" si="11"/>
        <v>4.4409016793200708E-6</v>
      </c>
      <c r="F255">
        <f t="shared" si="15"/>
        <v>8.1117116002491483E-5</v>
      </c>
      <c r="G255" s="1">
        <f t="shared" si="16"/>
        <v>9.0065040944026387E-3</v>
      </c>
      <c r="H255" s="1">
        <f t="shared" si="12"/>
        <v>1.4815699235292341E-2</v>
      </c>
      <c r="I255">
        <f t="shared" si="13"/>
        <v>14815.699235292341</v>
      </c>
      <c r="J255">
        <f t="shared" si="14"/>
        <v>33128.910624305325</v>
      </c>
    </row>
    <row r="256" spans="1:10" x14ac:dyDescent="0.45">
      <c r="A256">
        <v>8.4362909547053277E-3</v>
      </c>
      <c r="B256">
        <f t="shared" si="11"/>
        <v>7.1171005072442927E-5</v>
      </c>
      <c r="F256">
        <f t="shared" si="15"/>
        <v>7.8796795012268348E-5</v>
      </c>
      <c r="G256" s="1">
        <f t="shared" si="16"/>
        <v>8.8767558833319476E-3</v>
      </c>
      <c r="H256" s="1">
        <f t="shared" si="12"/>
        <v>1.4602263428081054E-2</v>
      </c>
      <c r="I256">
        <f t="shared" si="13"/>
        <v>14602.263428081054</v>
      </c>
      <c r="J256">
        <f t="shared" si="14"/>
        <v>32651.653650548349</v>
      </c>
    </row>
    <row r="257" spans="1:10" x14ac:dyDescent="0.45">
      <c r="A257">
        <v>3.1560603019897826E-4</v>
      </c>
      <c r="B257">
        <f t="shared" si="11"/>
        <v>9.9607166297958378E-8</v>
      </c>
      <c r="F257">
        <f t="shared" si="15"/>
        <v>7.856730400194743E-5</v>
      </c>
      <c r="G257" s="1">
        <f t="shared" si="16"/>
        <v>8.8638199441294745E-3</v>
      </c>
      <c r="H257" s="1">
        <f t="shared" si="12"/>
        <v>1.4580983808092985E-2</v>
      </c>
      <c r="I257">
        <f t="shared" si="13"/>
        <v>14580.983808092986</v>
      </c>
      <c r="J257">
        <f t="shared" si="14"/>
        <v>32604.070973719667</v>
      </c>
    </row>
    <row r="258" spans="1:10" x14ac:dyDescent="0.45">
      <c r="A258">
        <v>9.1165702542639337E-3</v>
      </c>
      <c r="B258">
        <f t="shared" si="11"/>
        <v>8.3111853200929962E-5</v>
      </c>
      <c r="F258">
        <f t="shared" si="15"/>
        <v>7.618472958290627E-5</v>
      </c>
      <c r="G258" s="1">
        <f t="shared" si="16"/>
        <v>8.7283864249302276E-3</v>
      </c>
      <c r="H258" s="1">
        <f t="shared" si="12"/>
        <v>1.4358195669010225E-2</v>
      </c>
      <c r="I258">
        <f t="shared" si="13"/>
        <v>14358.195669010225</v>
      </c>
      <c r="J258">
        <f t="shared" si="14"/>
        <v>32105.901550149934</v>
      </c>
    </row>
    <row r="259" spans="1:10" x14ac:dyDescent="0.45">
      <c r="A259">
        <v>-6.549043973791413E-4</v>
      </c>
      <c r="B259">
        <f t="shared" ref="B259:B322" si="17">A259^2</f>
        <v>4.2889976970653622E-7</v>
      </c>
      <c r="F259">
        <f t="shared" si="15"/>
        <v>7.6388742975900138E-5</v>
      </c>
      <c r="G259" s="1">
        <f t="shared" si="16"/>
        <v>8.7400653873927134E-3</v>
      </c>
      <c r="H259" s="1">
        <f t="shared" si="12"/>
        <v>1.4377407562261014E-2</v>
      </c>
      <c r="I259">
        <f t="shared" si="13"/>
        <v>14377.407562261014</v>
      </c>
      <c r="J259">
        <f t="shared" si="14"/>
        <v>32148.86064943517</v>
      </c>
    </row>
    <row r="260" spans="1:10" x14ac:dyDescent="0.45">
      <c r="A260">
        <v>2.0518427845672704E-3</v>
      </c>
      <c r="B260">
        <f t="shared" si="17"/>
        <v>4.2100588125807705E-6</v>
      </c>
      <c r="F260">
        <f t="shared" si="15"/>
        <v>7.4094466788418031E-5</v>
      </c>
      <c r="G260" s="1">
        <f t="shared" si="16"/>
        <v>8.6078142863573702E-3</v>
      </c>
      <c r="H260" s="1">
        <f t="shared" si="12"/>
        <v>1.4159854501057874E-2</v>
      </c>
      <c r="I260">
        <f t="shared" si="13"/>
        <v>14159.854501057873</v>
      </c>
      <c r="J260">
        <f t="shared" si="14"/>
        <v>31662.397215871773</v>
      </c>
    </row>
    <row r="261" spans="1:10" x14ac:dyDescent="0.45">
      <c r="A261">
        <v>-9.9530097941169515E-3</v>
      </c>
      <c r="B261">
        <f t="shared" si="17"/>
        <v>9.9062403961787965E-5</v>
      </c>
      <c r="F261">
        <f t="shared" si="15"/>
        <v>7.1920026639462516E-5</v>
      </c>
      <c r="G261" s="1">
        <f t="shared" si="16"/>
        <v>8.4805675894637222E-3</v>
      </c>
      <c r="H261" s="1">
        <f t="shared" si="12"/>
        <v>1.3950533684667824E-2</v>
      </c>
      <c r="I261">
        <f t="shared" si="13"/>
        <v>13950.533684667824</v>
      </c>
      <c r="J261">
        <f t="shared" si="14"/>
        <v>31194.341641317871</v>
      </c>
    </row>
    <row r="262" spans="1:10" x14ac:dyDescent="0.45">
      <c r="A262">
        <v>1.1357769835740328E-2</v>
      </c>
      <c r="B262">
        <f t="shared" si="17"/>
        <v>1.2899893564165287E-4</v>
      </c>
      <c r="F262">
        <f t="shared" si="15"/>
        <v>7.2697124805697161E-5</v>
      </c>
      <c r="G262" s="1">
        <f t="shared" si="16"/>
        <v>8.5262608924250704E-3</v>
      </c>
      <c r="H262" s="1">
        <f t="shared" si="12"/>
        <v>1.4025699168039241E-2</v>
      </c>
      <c r="I262">
        <f t="shared" si="13"/>
        <v>14025.699168039242</v>
      </c>
      <c r="J262">
        <f t="shared" si="14"/>
        <v>31362.416771697994</v>
      </c>
    </row>
    <row r="263" spans="1:10" x14ac:dyDescent="0.45">
      <c r="A263">
        <v>-1.4427769201574847E-3</v>
      </c>
      <c r="B263">
        <f t="shared" si="17"/>
        <v>2.0816052413391168E-6</v>
      </c>
      <c r="F263">
        <f t="shared" si="15"/>
        <v>7.4356705960748224E-5</v>
      </c>
      <c r="G263" s="1">
        <f t="shared" si="16"/>
        <v>8.6230334546926243E-3</v>
      </c>
      <c r="H263" s="1">
        <f t="shared" si="12"/>
        <v>1.4184890032969367E-2</v>
      </c>
      <c r="I263">
        <f t="shared" si="13"/>
        <v>14184.890032969368</v>
      </c>
      <c r="J263">
        <f t="shared" si="14"/>
        <v>31718.378367078742</v>
      </c>
    </row>
    <row r="264" spans="1:10" x14ac:dyDescent="0.45">
      <c r="A264">
        <v>1.7324509826721624E-2</v>
      </c>
      <c r="B264">
        <f t="shared" si="17"/>
        <v>3.0013864073617411E-4</v>
      </c>
      <c r="F264">
        <f t="shared" si="15"/>
        <v>7.216731912830118E-5</v>
      </c>
      <c r="G264" s="1">
        <f t="shared" si="16"/>
        <v>8.4951350270788036E-3</v>
      </c>
      <c r="H264" s="1">
        <f t="shared" si="12"/>
        <v>1.3974497119544632E-2</v>
      </c>
      <c r="I264">
        <f t="shared" si="13"/>
        <v>13974.497119544632</v>
      </c>
      <c r="J264">
        <f t="shared" si="14"/>
        <v>31247.925510676803</v>
      </c>
    </row>
    <row r="265" spans="1:10" x14ac:dyDescent="0.45">
      <c r="A265">
        <v>-9.1304855232010596E-3</v>
      </c>
      <c r="B265">
        <f t="shared" si="17"/>
        <v>8.3365765889384125E-5</v>
      </c>
      <c r="F265">
        <f t="shared" si="15"/>
        <v>7.9006363669894487E-5</v>
      </c>
      <c r="G265" s="1">
        <f t="shared" si="16"/>
        <v>8.8885523945069073E-3</v>
      </c>
      <c r="H265" s="1">
        <f t="shared" si="12"/>
        <v>1.4621668688963863E-2</v>
      </c>
      <c r="I265">
        <f t="shared" si="13"/>
        <v>14621.668688963862</v>
      </c>
      <c r="J265">
        <f t="shared" si="14"/>
        <v>32695.045133003427</v>
      </c>
    </row>
    <row r="266" spans="1:10" x14ac:dyDescent="0.45">
      <c r="A266">
        <v>-3.9212295632751193E-3</v>
      </c>
      <c r="B266">
        <f t="shared" si="17"/>
        <v>1.5376041287902784E-5</v>
      </c>
      <c r="F266">
        <f t="shared" si="15"/>
        <v>7.9128985480150953E-5</v>
      </c>
      <c r="G266" s="1">
        <f t="shared" si="16"/>
        <v>8.8954474581187295E-3</v>
      </c>
      <c r="H266" s="1">
        <f t="shared" si="12"/>
        <v>1.463301106860531E-2</v>
      </c>
      <c r="I266">
        <f t="shared" si="13"/>
        <v>14633.01106860531</v>
      </c>
      <c r="J266">
        <f t="shared" si="14"/>
        <v>32720.407464908316</v>
      </c>
    </row>
    <row r="267" spans="1:10" x14ac:dyDescent="0.45">
      <c r="A267">
        <v>-2.0245124687789939E-3</v>
      </c>
      <c r="B267">
        <f t="shared" si="17"/>
        <v>4.0986507362416173E-6</v>
      </c>
      <c r="F267">
        <f t="shared" si="15"/>
        <v>7.7130104113766574E-5</v>
      </c>
      <c r="G267" s="1">
        <f t="shared" si="16"/>
        <v>8.7823746284115302E-3</v>
      </c>
      <c r="H267" s="1">
        <f t="shared" si="12"/>
        <v>1.4447006263736968E-2</v>
      </c>
      <c r="I267">
        <f t="shared" si="13"/>
        <v>14447.006263736968</v>
      </c>
      <c r="J267">
        <f t="shared" si="14"/>
        <v>32304.488077081118</v>
      </c>
    </row>
    <row r="268" spans="1:10" x14ac:dyDescent="0.45">
      <c r="A268">
        <v>7.1596332418266684E-3</v>
      </c>
      <c r="B268">
        <f t="shared" si="17"/>
        <v>5.1260348157469448E-5</v>
      </c>
      <c r="F268">
        <f t="shared" si="15"/>
        <v>7.4905544253619971E-5</v>
      </c>
      <c r="G268" s="1">
        <f t="shared" si="16"/>
        <v>8.6547989146842676E-3</v>
      </c>
      <c r="H268" s="1">
        <f t="shared" si="12"/>
        <v>1.423714421465562E-2</v>
      </c>
      <c r="I268">
        <f t="shared" si="13"/>
        <v>14237.14421465562</v>
      </c>
      <c r="J268">
        <f t="shared" si="14"/>
        <v>31835.222269437825</v>
      </c>
    </row>
    <row r="269" spans="1:10" x14ac:dyDescent="0.45">
      <c r="A269">
        <v>5.7323632063344121E-3</v>
      </c>
      <c r="B269">
        <f t="shared" si="17"/>
        <v>3.2859987929336542E-5</v>
      </c>
      <c r="F269">
        <f t="shared" si="15"/>
        <v>7.4193264256617144E-5</v>
      </c>
      <c r="G269" s="1">
        <f t="shared" si="16"/>
        <v>8.6135511989316668E-3</v>
      </c>
      <c r="H269" s="1">
        <f t="shared" si="12"/>
        <v>1.4169291722242593E-2</v>
      </c>
      <c r="I269">
        <f t="shared" si="13"/>
        <v>14169.291722242593</v>
      </c>
      <c r="J269">
        <f t="shared" si="14"/>
        <v>31683.499483959509</v>
      </c>
    </row>
    <row r="270" spans="1:10" x14ac:dyDescent="0.45">
      <c r="A270">
        <v>-2.1550818019022699E-3</v>
      </c>
      <c r="B270">
        <f t="shared" si="17"/>
        <v>4.6443775728903345E-6</v>
      </c>
      <c r="F270">
        <f t="shared" si="15"/>
        <v>7.286309116528349E-5</v>
      </c>
      <c r="G270" s="1">
        <f t="shared" si="16"/>
        <v>8.5359880017068616E-3</v>
      </c>
      <c r="H270" s="1">
        <f t="shared" si="12"/>
        <v>1.4041700262807788E-2</v>
      </c>
      <c r="I270">
        <f t="shared" si="13"/>
        <v>14041.700262807788</v>
      </c>
      <c r="J270">
        <f t="shared" si="14"/>
        <v>31398.196307314876</v>
      </c>
    </row>
    <row r="271" spans="1:10" x14ac:dyDescent="0.45">
      <c r="A271">
        <v>2.93357516056858E-3</v>
      </c>
      <c r="B271">
        <f t="shared" si="17"/>
        <v>8.6058632227049693E-6</v>
      </c>
      <c r="F271">
        <f t="shared" si="15"/>
        <v>7.079344148644118E-5</v>
      </c>
      <c r="G271" s="1">
        <f t="shared" si="16"/>
        <v>8.4138838526830861E-3</v>
      </c>
      <c r="H271" s="1">
        <f t="shared" si="12"/>
        <v>1.3840838937663677E-2</v>
      </c>
      <c r="I271">
        <f t="shared" si="13"/>
        <v>13840.838937663677</v>
      </c>
      <c r="J271">
        <f t="shared" si="14"/>
        <v>30949.056730241959</v>
      </c>
    </row>
    <row r="272" spans="1:10" x14ac:dyDescent="0.45">
      <c r="A272">
        <v>5.6280896387761459E-3</v>
      </c>
      <c r="B272">
        <f t="shared" si="17"/>
        <v>3.1675392982099408E-5</v>
      </c>
      <c r="F272">
        <f t="shared" si="15"/>
        <v>6.8895424097932401E-5</v>
      </c>
      <c r="G272" s="1">
        <f t="shared" si="16"/>
        <v>8.3003267464559737E-3</v>
      </c>
      <c r="H272" s="1">
        <f t="shared" si="12"/>
        <v>1.3654037497920078E-2</v>
      </c>
      <c r="I272">
        <f t="shared" si="13"/>
        <v>13654.037497920077</v>
      </c>
      <c r="J272">
        <f t="shared" si="14"/>
        <v>30531.356012680437</v>
      </c>
    </row>
    <row r="273" spans="1:10" x14ac:dyDescent="0.45">
      <c r="A273">
        <v>-1.4798251868342049E-2</v>
      </c>
      <c r="B273">
        <f t="shared" si="17"/>
        <v>2.1898825835888895E-4</v>
      </c>
      <c r="F273">
        <f t="shared" si="15"/>
        <v>6.7773480202570134E-5</v>
      </c>
      <c r="G273" s="1">
        <f t="shared" si="16"/>
        <v>8.2324650137471055E-3</v>
      </c>
      <c r="H273" s="1">
        <f t="shared" si="12"/>
        <v>1.3542404947613988E-2</v>
      </c>
      <c r="I273">
        <f t="shared" si="13"/>
        <v>13542.404947613988</v>
      </c>
      <c r="J273">
        <f t="shared" si="14"/>
        <v>30281.738041694356</v>
      </c>
    </row>
    <row r="274" spans="1:10" x14ac:dyDescent="0.45">
      <c r="A274">
        <v>-5.1600181905087084E-3</v>
      </c>
      <c r="B274">
        <f t="shared" si="17"/>
        <v>2.6625787726380764E-5</v>
      </c>
      <c r="F274">
        <f t="shared" si="15"/>
        <v>7.2306821563797714E-5</v>
      </c>
      <c r="G274" s="1">
        <f t="shared" si="16"/>
        <v>8.5033417880147396E-3</v>
      </c>
      <c r="H274" s="1">
        <f t="shared" si="12"/>
        <v>1.3987997241284246E-2</v>
      </c>
      <c r="I274">
        <f t="shared" si="13"/>
        <v>13987.997241284247</v>
      </c>
      <c r="J274">
        <f t="shared" si="14"/>
        <v>31278.112700591108</v>
      </c>
    </row>
    <row r="275" spans="1:10" x14ac:dyDescent="0.45">
      <c r="A275">
        <v>-1.4760189515072852E-3</v>
      </c>
      <c r="B275">
        <f t="shared" si="17"/>
        <v>2.1786319452086656E-6</v>
      </c>
      <c r="F275">
        <f t="shared" si="15"/>
        <v>7.0926832370090515E-5</v>
      </c>
      <c r="G275" s="1">
        <f t="shared" si="16"/>
        <v>8.4218069539790871E-3</v>
      </c>
      <c r="H275" s="1">
        <f t="shared" si="12"/>
        <v>1.3853872439295598E-2</v>
      </c>
      <c r="I275">
        <f t="shared" si="13"/>
        <v>13853.872439295597</v>
      </c>
      <c r="J275">
        <f t="shared" si="14"/>
        <v>30978.200525875785</v>
      </c>
    </row>
    <row r="276" spans="1:10" x14ac:dyDescent="0.45">
      <c r="A276">
        <v>7.489757081202697E-3</v>
      </c>
      <c r="B276">
        <f t="shared" si="17"/>
        <v>5.6096461135425946E-5</v>
      </c>
      <c r="F276">
        <f t="shared" si="15"/>
        <v>6.8863019298331509E-5</v>
      </c>
      <c r="G276" s="1">
        <f t="shared" si="16"/>
        <v>8.2983744973537752E-3</v>
      </c>
      <c r="H276" s="1">
        <f t="shared" si="12"/>
        <v>1.365082604814696E-2</v>
      </c>
      <c r="I276">
        <f t="shared" si="13"/>
        <v>13650.826048146961</v>
      </c>
      <c r="J276">
        <f t="shared" si="14"/>
        <v>30524.174992681423</v>
      </c>
    </row>
    <row r="277" spans="1:10" x14ac:dyDescent="0.45">
      <c r="A277">
        <v>-6.8178223955328576E-3</v>
      </c>
      <c r="B277">
        <f t="shared" si="17"/>
        <v>4.6482702217029391E-5</v>
      </c>
      <c r="F277">
        <f t="shared" si="15"/>
        <v>6.8434442344413013E-5</v>
      </c>
      <c r="G277" s="1">
        <f t="shared" si="16"/>
        <v>8.2725112477658805E-3</v>
      </c>
      <c r="H277" s="1">
        <f t="shared" si="12"/>
        <v>1.3608281002574874E-2</v>
      </c>
      <c r="I277">
        <f t="shared" si="13"/>
        <v>13608.281002574875</v>
      </c>
      <c r="J277">
        <f t="shared" si="14"/>
        <v>30429.041378676411</v>
      </c>
    </row>
    <row r="278" spans="1:10" x14ac:dyDescent="0.45">
      <c r="A278">
        <v>7.8251446211652365E-3</v>
      </c>
      <c r="B278">
        <f t="shared" si="17"/>
        <v>6.1232888342151236E-5</v>
      </c>
      <c r="F278">
        <f t="shared" si="15"/>
        <v>6.7761611947232624E-5</v>
      </c>
      <c r="G278" s="1">
        <f t="shared" si="16"/>
        <v>8.2317441619156641E-3</v>
      </c>
      <c r="H278" s="1">
        <f t="shared" si="12"/>
        <v>1.3541219146351268E-2</v>
      </c>
      <c r="I278">
        <f t="shared" si="13"/>
        <v>13541.219146351268</v>
      </c>
      <c r="J278">
        <f t="shared" si="14"/>
        <v>30279.086509463112</v>
      </c>
    </row>
    <row r="279" spans="1:10" x14ac:dyDescent="0.45">
      <c r="A279">
        <v>5.0484686653362587E-3</v>
      </c>
      <c r="B279">
        <f t="shared" si="17"/>
        <v>2.5487035864882067E-5</v>
      </c>
      <c r="F279">
        <f t="shared" si="15"/>
        <v>6.755793970140434E-5</v>
      </c>
      <c r="G279" s="1">
        <f t="shared" si="16"/>
        <v>8.2193637041686109E-3</v>
      </c>
      <c r="H279" s="1">
        <f t="shared" si="12"/>
        <v>1.3520853293357366E-2</v>
      </c>
      <c r="I279">
        <f t="shared" si="13"/>
        <v>13520.853293357366</v>
      </c>
      <c r="J279">
        <f t="shared" si="14"/>
        <v>30233.547077748979</v>
      </c>
    </row>
    <row r="280" spans="1:10" x14ac:dyDescent="0.45">
      <c r="A280">
        <v>6.1929540606797673E-3</v>
      </c>
      <c r="B280">
        <f t="shared" si="17"/>
        <v>3.8352679997690021E-5</v>
      </c>
      <c r="F280">
        <f t="shared" si="15"/>
        <v>6.6261595354765305E-5</v>
      </c>
      <c r="G280" s="1">
        <f t="shared" si="16"/>
        <v>8.1401225638663022E-3</v>
      </c>
      <c r="H280" s="1">
        <f t="shared" si="12"/>
        <v>1.3390501617560068E-2</v>
      </c>
      <c r="I280">
        <f t="shared" si="13"/>
        <v>13390.501617560069</v>
      </c>
      <c r="J280">
        <f t="shared" si="14"/>
        <v>29942.071869685205</v>
      </c>
    </row>
    <row r="281" spans="1:10" x14ac:dyDescent="0.45">
      <c r="A281">
        <v>1.0522762750042602E-2</v>
      </c>
      <c r="B281">
        <f t="shared" si="17"/>
        <v>1.1072853589368415E-4</v>
      </c>
      <c r="F281">
        <f t="shared" si="15"/>
        <v>6.5377855421286547E-5</v>
      </c>
      <c r="G281" s="1">
        <f t="shared" si="16"/>
        <v>8.0856573895563087E-3</v>
      </c>
      <c r="H281" s="1">
        <f t="shared" si="12"/>
        <v>1.3300906405820129E-2</v>
      </c>
      <c r="I281">
        <f t="shared" si="13"/>
        <v>13300.906405820129</v>
      </c>
      <c r="J281">
        <f t="shared" si="14"/>
        <v>29741.730885776215</v>
      </c>
    </row>
    <row r="282" spans="1:10" x14ac:dyDescent="0.45">
      <c r="A282">
        <v>3.4406639315420762E-3</v>
      </c>
      <c r="B282">
        <f t="shared" si="17"/>
        <v>1.1838168289814576E-5</v>
      </c>
      <c r="F282">
        <f t="shared" si="15"/>
        <v>6.6703047520521889E-5</v>
      </c>
      <c r="G282" s="1">
        <f t="shared" si="16"/>
        <v>8.167193368625595E-3</v>
      </c>
      <c r="H282" s="1">
        <f t="shared" ref="H282:H345" si="18">G282*$H$1</f>
        <v>1.3435033091389104E-2</v>
      </c>
      <c r="I282">
        <f t="shared" ref="I282:I345" si="19">H282*$K$1</f>
        <v>13435.033091389103</v>
      </c>
      <c r="J282">
        <f t="shared" ref="J282:J345" si="20">I282*SQRT($K$2)</f>
        <v>30041.647272305181</v>
      </c>
    </row>
    <row r="283" spans="1:10" x14ac:dyDescent="0.45">
      <c r="A283">
        <v>7.4826857598964125E-3</v>
      </c>
      <c r="B283">
        <f t="shared" si="17"/>
        <v>5.5990586181356551E-5</v>
      </c>
      <c r="F283">
        <f t="shared" ref="F283:F346" si="21">(1-$E$1)*SUMPRODUCT($E$2:$E$152,B132:B282)</f>
        <v>6.49892688272462E-5</v>
      </c>
      <c r="G283" s="1">
        <f t="shared" ref="G283:G346" si="22">SQRT(F283)</f>
        <v>8.0615922017456456E-3</v>
      </c>
      <c r="H283" s="1">
        <f t="shared" si="18"/>
        <v>1.3261319171871587E-2</v>
      </c>
      <c r="I283">
        <f t="shared" si="19"/>
        <v>13261.319171871586</v>
      </c>
      <c r="J283">
        <f t="shared" si="20"/>
        <v>29653.211139626084</v>
      </c>
    </row>
    <row r="284" spans="1:10" x14ac:dyDescent="0.45">
      <c r="A284">
        <v>4.1911789594450966E-3</v>
      </c>
      <c r="B284">
        <f t="shared" si="17"/>
        <v>1.7565981070095282E-5</v>
      </c>
      <c r="F284">
        <f t="shared" si="21"/>
        <v>6.4713106195691918E-5</v>
      </c>
      <c r="G284" s="1">
        <f t="shared" si="22"/>
        <v>8.0444456736118199E-3</v>
      </c>
      <c r="H284" s="1">
        <f t="shared" si="18"/>
        <v>1.3233113133091444E-2</v>
      </c>
      <c r="I284">
        <f t="shared" si="19"/>
        <v>13233.113133091443</v>
      </c>
      <c r="J284">
        <f t="shared" si="20"/>
        <v>29590.14051953769</v>
      </c>
    </row>
    <row r="285" spans="1:10" x14ac:dyDescent="0.45">
      <c r="A285">
        <v>-4.1778093873290345E-3</v>
      </c>
      <c r="B285">
        <f t="shared" si="17"/>
        <v>1.7454091276854604E-5</v>
      </c>
      <c r="F285">
        <f t="shared" si="21"/>
        <v>6.32778367662354E-5</v>
      </c>
      <c r="G285" s="1">
        <f t="shared" si="22"/>
        <v>7.9547367502787545E-3</v>
      </c>
      <c r="H285" s="1">
        <f t="shared" si="18"/>
        <v>1.3085541954208552E-2</v>
      </c>
      <c r="I285">
        <f t="shared" si="19"/>
        <v>13085.541954208551</v>
      </c>
      <c r="J285">
        <f t="shared" si="20"/>
        <v>29260.161332035761</v>
      </c>
    </row>
    <row r="286" spans="1:10" x14ac:dyDescent="0.45">
      <c r="A286">
        <v>-2.5168264983221889E-2</v>
      </c>
      <c r="B286">
        <f t="shared" si="17"/>
        <v>6.3344156226567304E-4</v>
      </c>
      <c r="F286">
        <f t="shared" si="21"/>
        <v>6.181190618074258E-5</v>
      </c>
      <c r="G286" s="1">
        <f t="shared" si="22"/>
        <v>7.8620548319598086E-3</v>
      </c>
      <c r="H286" s="1">
        <f t="shared" si="18"/>
        <v>1.2933080198573886E-2</v>
      </c>
      <c r="I286">
        <f t="shared" si="19"/>
        <v>12933.080198573885</v>
      </c>
      <c r="J286">
        <f t="shared" si="20"/>
        <v>28919.246482467686</v>
      </c>
    </row>
    <row r="287" spans="1:10" x14ac:dyDescent="0.45">
      <c r="A287">
        <v>-7.2648163040867075E-3</v>
      </c>
      <c r="B287">
        <f t="shared" si="17"/>
        <v>5.2777555932124052E-5</v>
      </c>
      <c r="F287">
        <f t="shared" si="21"/>
        <v>7.8957481172768482E-5</v>
      </c>
      <c r="G287" s="1">
        <f t="shared" si="22"/>
        <v>8.8858022244909587E-3</v>
      </c>
      <c r="H287" s="1">
        <f t="shared" si="18"/>
        <v>1.4617144659287627E-2</v>
      </c>
      <c r="I287">
        <f t="shared" si="19"/>
        <v>14617.144659287627</v>
      </c>
      <c r="J287">
        <f t="shared" si="20"/>
        <v>32684.929095115138</v>
      </c>
    </row>
    <row r="288" spans="1:10" x14ac:dyDescent="0.45">
      <c r="A288">
        <v>-2.3276697902474552E-3</v>
      </c>
      <c r="B288">
        <f t="shared" si="17"/>
        <v>5.4180466524306323E-6</v>
      </c>
      <c r="F288">
        <f t="shared" si="21"/>
        <v>7.8172083333888912E-5</v>
      </c>
      <c r="G288" s="1">
        <f t="shared" si="22"/>
        <v>8.8414977992356536E-3</v>
      </c>
      <c r="H288" s="1">
        <f t="shared" si="18"/>
        <v>1.454426387974265E-2</v>
      </c>
      <c r="I288">
        <f t="shared" si="19"/>
        <v>14544.26387974265</v>
      </c>
      <c r="J288">
        <f t="shared" si="20"/>
        <v>32521.962717799393</v>
      </c>
    </row>
    <row r="289" spans="1:10" x14ac:dyDescent="0.45">
      <c r="A289">
        <v>-1.0132885108760092E-2</v>
      </c>
      <c r="B289">
        <f t="shared" si="17"/>
        <v>1.0267536062733204E-4</v>
      </c>
      <c r="F289">
        <f t="shared" si="21"/>
        <v>7.5982901401196502E-5</v>
      </c>
      <c r="G289" s="1">
        <f t="shared" si="22"/>
        <v>8.7168171600187014E-3</v>
      </c>
      <c r="H289" s="1">
        <f t="shared" si="18"/>
        <v>1.4339164228230764E-2</v>
      </c>
      <c r="I289">
        <f t="shared" si="19"/>
        <v>14339.164228230764</v>
      </c>
      <c r="J289">
        <f t="shared" si="20"/>
        <v>32063.345954857297</v>
      </c>
    </row>
    <row r="290" spans="1:10" x14ac:dyDescent="0.45">
      <c r="A290">
        <v>-1.4533634384861216E-2</v>
      </c>
      <c r="B290">
        <f t="shared" si="17"/>
        <v>2.1122652843282025E-4</v>
      </c>
      <c r="F290">
        <f t="shared" si="21"/>
        <v>7.6754172300619102E-5</v>
      </c>
      <c r="G290" s="1">
        <f t="shared" si="22"/>
        <v>8.7609458565053987E-3</v>
      </c>
      <c r="H290" s="1">
        <f t="shared" si="18"/>
        <v>1.4411755933951382E-2</v>
      </c>
      <c r="I290">
        <f t="shared" si="19"/>
        <v>14411.755933951381</v>
      </c>
      <c r="J290">
        <f t="shared" si="20"/>
        <v>32225.665943451258</v>
      </c>
    </row>
    <row r="291" spans="1:10" x14ac:dyDescent="0.45">
      <c r="A291">
        <v>-1.7768115867511369E-3</v>
      </c>
      <c r="B291">
        <f t="shared" si="17"/>
        <v>3.1570594148130929E-6</v>
      </c>
      <c r="F291">
        <f t="shared" si="21"/>
        <v>8.0648959818628484E-5</v>
      </c>
      <c r="G291" s="1">
        <f t="shared" si="22"/>
        <v>8.9804765919537077E-3</v>
      </c>
      <c r="H291" s="1">
        <f t="shared" si="18"/>
        <v>1.477288399376385E-2</v>
      </c>
      <c r="I291">
        <f t="shared" si="19"/>
        <v>14772.88399376385</v>
      </c>
      <c r="J291">
        <f t="shared" si="20"/>
        <v>33033.172833774552</v>
      </c>
    </row>
    <row r="292" spans="1:10" x14ac:dyDescent="0.45">
      <c r="A292">
        <v>7.206176633189898E-3</v>
      </c>
      <c r="B292">
        <f t="shared" si="17"/>
        <v>5.1928981668732097E-5</v>
      </c>
      <c r="F292">
        <f t="shared" si="21"/>
        <v>7.8309039991002817E-5</v>
      </c>
      <c r="G292" s="1">
        <f t="shared" si="22"/>
        <v>8.8492395148398375E-3</v>
      </c>
      <c r="H292" s="1">
        <f t="shared" si="18"/>
        <v>1.4556999001911533E-2</v>
      </c>
      <c r="I292">
        <f t="shared" si="19"/>
        <v>14556.999001911532</v>
      </c>
      <c r="J292">
        <f t="shared" si="20"/>
        <v>32550.439316670778</v>
      </c>
    </row>
    <row r="293" spans="1:10" x14ac:dyDescent="0.45">
      <c r="A293">
        <v>1.0418216334073804E-2</v>
      </c>
      <c r="B293">
        <f t="shared" si="17"/>
        <v>1.0853923158356222E-4</v>
      </c>
      <c r="F293">
        <f t="shared" si="21"/>
        <v>7.749923444917333E-5</v>
      </c>
      <c r="G293" s="1">
        <f t="shared" si="22"/>
        <v>8.8033649503569556E-3</v>
      </c>
      <c r="H293" s="1">
        <f t="shared" si="18"/>
        <v>1.4481535343337192E-2</v>
      </c>
      <c r="I293">
        <f t="shared" si="19"/>
        <v>14481.535343337193</v>
      </c>
      <c r="J293">
        <f t="shared" si="20"/>
        <v>32381.697446267721</v>
      </c>
    </row>
    <row r="294" spans="1:10" x14ac:dyDescent="0.45">
      <c r="A294">
        <v>1.3012231647735462E-2</v>
      </c>
      <c r="B294">
        <f t="shared" si="17"/>
        <v>1.6931817245432833E-4</v>
      </c>
      <c r="F294">
        <f t="shared" si="21"/>
        <v>7.8406783482712729E-5</v>
      </c>
      <c r="G294" s="1">
        <f t="shared" si="22"/>
        <v>8.8547604983258994E-3</v>
      </c>
      <c r="H294" s="1">
        <f t="shared" si="18"/>
        <v>1.4566081019746104E-2</v>
      </c>
      <c r="I294">
        <f t="shared" si="19"/>
        <v>14566.081019746103</v>
      </c>
      <c r="J294">
        <f t="shared" si="20"/>
        <v>32570.747325921744</v>
      </c>
    </row>
    <row r="295" spans="1:10" x14ac:dyDescent="0.45">
      <c r="A295">
        <v>1.175044417323079E-3</v>
      </c>
      <c r="B295">
        <f t="shared" si="17"/>
        <v>1.3807293826821341E-6</v>
      </c>
      <c r="F295">
        <f t="shared" si="21"/>
        <v>8.1128794943217806E-5</v>
      </c>
      <c r="G295" s="1">
        <f t="shared" si="22"/>
        <v>9.007152432551466E-3</v>
      </c>
      <c r="H295" s="1">
        <f t="shared" si="18"/>
        <v>1.4816765751547162E-2</v>
      </c>
      <c r="I295">
        <f t="shared" si="19"/>
        <v>14816.765751547162</v>
      </c>
      <c r="J295">
        <f t="shared" si="20"/>
        <v>33131.295427150217</v>
      </c>
    </row>
    <row r="296" spans="1:10" x14ac:dyDescent="0.45">
      <c r="A296">
        <v>9.524683264316991E-5</v>
      </c>
      <c r="B296">
        <f t="shared" si="17"/>
        <v>9.0719591285560171E-9</v>
      </c>
      <c r="F296">
        <f t="shared" si="21"/>
        <v>7.8643805820610623E-5</v>
      </c>
      <c r="G296" s="1">
        <f t="shared" si="22"/>
        <v>8.868134291981071E-3</v>
      </c>
      <c r="H296" s="1">
        <f t="shared" si="18"/>
        <v>1.4588080910308863E-2</v>
      </c>
      <c r="I296">
        <f t="shared" si="19"/>
        <v>14588.080910308863</v>
      </c>
      <c r="J296">
        <f t="shared" si="20"/>
        <v>32619.940576717632</v>
      </c>
    </row>
    <row r="297" spans="1:10" x14ac:dyDescent="0.45">
      <c r="A297">
        <v>2.8338831725704949E-3</v>
      </c>
      <c r="B297">
        <f t="shared" si="17"/>
        <v>8.0308938357782143E-6</v>
      </c>
      <c r="F297">
        <f t="shared" si="21"/>
        <v>7.624280996456881E-5</v>
      </c>
      <c r="G297" s="1">
        <f t="shared" si="22"/>
        <v>8.7317128883495024E-3</v>
      </c>
      <c r="H297" s="1">
        <f t="shared" si="18"/>
        <v>1.4363667701334931E-2</v>
      </c>
      <c r="I297">
        <f t="shared" si="19"/>
        <v>14363.667701334931</v>
      </c>
      <c r="J297">
        <f t="shared" si="20"/>
        <v>32118.137386403054</v>
      </c>
    </row>
    <row r="298" spans="1:10" x14ac:dyDescent="0.45">
      <c r="A298">
        <v>1.4844135876046494E-2</v>
      </c>
      <c r="B298">
        <f t="shared" si="17"/>
        <v>2.203483699065306E-4</v>
      </c>
      <c r="F298">
        <f t="shared" si="21"/>
        <v>7.41825448864647E-5</v>
      </c>
      <c r="G298" s="1">
        <f t="shared" si="22"/>
        <v>8.6129289377345208E-3</v>
      </c>
      <c r="H298" s="1">
        <f t="shared" si="18"/>
        <v>1.4168268102573286E-2</v>
      </c>
      <c r="I298">
        <f t="shared" si="19"/>
        <v>14168.268102573285</v>
      </c>
      <c r="J298">
        <f t="shared" si="20"/>
        <v>31681.210600795832</v>
      </c>
    </row>
    <row r="299" spans="1:10" x14ac:dyDescent="0.45">
      <c r="A299">
        <v>8.5990222942200489E-3</v>
      </c>
      <c r="B299">
        <f t="shared" si="17"/>
        <v>7.3943184416493435E-5</v>
      </c>
      <c r="F299">
        <f t="shared" si="21"/>
        <v>7.8552557795467573E-5</v>
      </c>
      <c r="G299" s="1">
        <f t="shared" si="22"/>
        <v>8.8629880850347297E-3</v>
      </c>
      <c r="H299" s="1">
        <f t="shared" si="18"/>
        <v>1.457961539988213E-2</v>
      </c>
      <c r="I299">
        <f t="shared" si="19"/>
        <v>14579.61539988213</v>
      </c>
      <c r="J299">
        <f t="shared" si="20"/>
        <v>32601.011119939223</v>
      </c>
    </row>
    <row r="300" spans="1:10" x14ac:dyDescent="0.45">
      <c r="A300">
        <v>1.2914733815705404E-2</v>
      </c>
      <c r="B300">
        <f t="shared" si="17"/>
        <v>1.6679034953052466E-4</v>
      </c>
      <c r="F300">
        <f t="shared" si="21"/>
        <v>7.8375450478872095E-5</v>
      </c>
      <c r="G300" s="1">
        <f t="shared" si="22"/>
        <v>8.8529910470344485E-3</v>
      </c>
      <c r="H300" s="1">
        <f t="shared" si="18"/>
        <v>1.4563170272371667E-2</v>
      </c>
      <c r="I300">
        <f t="shared" si="19"/>
        <v>14563.170272371668</v>
      </c>
      <c r="J300">
        <f t="shared" si="20"/>
        <v>32564.238696927179</v>
      </c>
    </row>
    <row r="301" spans="1:10" x14ac:dyDescent="0.45">
      <c r="A301">
        <v>-5.0302332965657115E-3</v>
      </c>
      <c r="B301">
        <f t="shared" si="17"/>
        <v>2.5303247017878345E-5</v>
      </c>
      <c r="F301">
        <f t="shared" si="21"/>
        <v>8.1023975652971553E-5</v>
      </c>
      <c r="G301" s="1">
        <f t="shared" si="22"/>
        <v>9.0013318821700796E-3</v>
      </c>
      <c r="H301" s="1">
        <f t="shared" si="18"/>
        <v>1.4807190946169781E-2</v>
      </c>
      <c r="I301">
        <f t="shared" si="19"/>
        <v>14807.190946169781</v>
      </c>
      <c r="J301">
        <f t="shared" si="20"/>
        <v>33109.885511455061</v>
      </c>
    </row>
    <row r="302" spans="1:10" x14ac:dyDescent="0.45">
      <c r="A302">
        <v>1.6437752492493019E-2</v>
      </c>
      <c r="B302">
        <f t="shared" si="17"/>
        <v>2.7019970700446045E-4</v>
      </c>
      <c r="F302">
        <f t="shared" si="21"/>
        <v>7.9350271915455393E-5</v>
      </c>
      <c r="G302" s="1">
        <f t="shared" si="22"/>
        <v>8.9078769589310894E-3</v>
      </c>
      <c r="H302" s="1">
        <f t="shared" si="18"/>
        <v>1.4653457597441643E-2</v>
      </c>
      <c r="I302">
        <f t="shared" si="19"/>
        <v>14653.457597441642</v>
      </c>
      <c r="J302">
        <f t="shared" si="20"/>
        <v>32766.127293290261</v>
      </c>
    </row>
    <row r="303" spans="1:10" x14ac:dyDescent="0.45">
      <c r="A303">
        <v>-1.2634518498089164E-2</v>
      </c>
      <c r="B303">
        <f t="shared" si="17"/>
        <v>1.5963105767855727E-4</v>
      </c>
      <c r="F303">
        <f t="shared" si="21"/>
        <v>8.5067147388715494E-5</v>
      </c>
      <c r="G303" s="1">
        <f t="shared" si="22"/>
        <v>9.2231853168368849E-3</v>
      </c>
      <c r="H303" s="1">
        <f t="shared" si="18"/>
        <v>1.5172139846196676E-2</v>
      </c>
      <c r="I303">
        <f t="shared" si="19"/>
        <v>15172.139846196676</v>
      </c>
      <c r="J303">
        <f t="shared" si="20"/>
        <v>33925.936060228974</v>
      </c>
    </row>
    <row r="304" spans="1:10" x14ac:dyDescent="0.45">
      <c r="A304">
        <v>1.4215538612916134E-2</v>
      </c>
      <c r="B304">
        <f t="shared" si="17"/>
        <v>2.0208153805530957E-4</v>
      </c>
      <c r="F304">
        <f t="shared" si="21"/>
        <v>8.7303930687939029E-5</v>
      </c>
      <c r="G304" s="1">
        <f t="shared" si="22"/>
        <v>9.3436572437102499E-3</v>
      </c>
      <c r="H304" s="1">
        <f t="shared" si="18"/>
        <v>1.5370316165903361E-2</v>
      </c>
      <c r="I304">
        <f t="shared" si="19"/>
        <v>15370.316165903361</v>
      </c>
      <c r="J304">
        <f t="shared" si="20"/>
        <v>34369.071782623854</v>
      </c>
    </row>
    <row r="305" spans="1:10" x14ac:dyDescent="0.45">
      <c r="A305">
        <v>1.6184799278562423E-3</v>
      </c>
      <c r="B305">
        <f t="shared" si="17"/>
        <v>2.6194772768735474E-6</v>
      </c>
      <c r="F305">
        <f t="shared" si="21"/>
        <v>9.0733335566468262E-5</v>
      </c>
      <c r="G305" s="1">
        <f t="shared" si="22"/>
        <v>9.5254047455458953E-3</v>
      </c>
      <c r="H305" s="1">
        <f t="shared" si="18"/>
        <v>1.5669290806422997E-2</v>
      </c>
      <c r="I305">
        <f t="shared" si="19"/>
        <v>15669.290806422996</v>
      </c>
      <c r="J305">
        <f t="shared" si="20"/>
        <v>35037.599402374319</v>
      </c>
    </row>
    <row r="306" spans="1:10" x14ac:dyDescent="0.45">
      <c r="A306">
        <v>-1.8889295461121947E-2</v>
      </c>
      <c r="B306">
        <f t="shared" si="17"/>
        <v>3.5680548301756217E-4</v>
      </c>
      <c r="F306">
        <f t="shared" si="21"/>
        <v>8.807780838626631E-5</v>
      </c>
      <c r="G306" s="1">
        <f t="shared" si="22"/>
        <v>9.3849778042500616E-3</v>
      </c>
      <c r="H306" s="1">
        <f t="shared" si="18"/>
        <v>1.5438288487991352E-2</v>
      </c>
      <c r="I306">
        <f t="shared" si="19"/>
        <v>15438.288487991353</v>
      </c>
      <c r="J306">
        <f t="shared" si="20"/>
        <v>34521.062515401114</v>
      </c>
    </row>
    <row r="307" spans="1:10" x14ac:dyDescent="0.45">
      <c r="A307">
        <v>1.2508075997175183E-2</v>
      </c>
      <c r="B307">
        <f t="shared" si="17"/>
        <v>1.5645196515110996E-4</v>
      </c>
      <c r="F307">
        <f t="shared" si="21"/>
        <v>9.610502895692471E-5</v>
      </c>
      <c r="G307" s="1">
        <f t="shared" si="22"/>
        <v>9.8033172424911719E-3</v>
      </c>
      <c r="H307" s="1">
        <f t="shared" si="18"/>
        <v>1.6126456863897978E-2</v>
      </c>
      <c r="I307">
        <f t="shared" si="19"/>
        <v>16126.456863897978</v>
      </c>
      <c r="J307">
        <f t="shared" si="20"/>
        <v>36059.853783893952</v>
      </c>
    </row>
    <row r="308" spans="1:10" x14ac:dyDescent="0.45">
      <c r="A308">
        <v>5.7811121223494411E-3</v>
      </c>
      <c r="B308">
        <f t="shared" si="17"/>
        <v>3.3421257371175659E-5</v>
      </c>
      <c r="F308">
        <f t="shared" si="21"/>
        <v>9.790866784732845E-5</v>
      </c>
      <c r="G308" s="1">
        <f t="shared" si="22"/>
        <v>9.8948808910127081E-3</v>
      </c>
      <c r="H308" s="1">
        <f t="shared" si="18"/>
        <v>1.6277079065715905E-2</v>
      </c>
      <c r="I308">
        <f t="shared" si="19"/>
        <v>16277.079065715905</v>
      </c>
      <c r="J308">
        <f t="shared" si="20"/>
        <v>36396.655266079535</v>
      </c>
    </row>
    <row r="309" spans="1:10" x14ac:dyDescent="0.45">
      <c r="A309">
        <v>1.2146642802690621E-2</v>
      </c>
      <c r="B309">
        <f t="shared" si="17"/>
        <v>1.4754093137615587E-4</v>
      </c>
      <c r="F309">
        <f t="shared" si="21"/>
        <v>9.5927856503778727E-5</v>
      </c>
      <c r="G309" s="1">
        <f t="shared" si="22"/>
        <v>9.7942767218298834E-3</v>
      </c>
      <c r="H309" s="1">
        <f t="shared" si="18"/>
        <v>1.611158520741016E-2</v>
      </c>
      <c r="I309">
        <f t="shared" si="19"/>
        <v>16111.58520741016</v>
      </c>
      <c r="J309">
        <f t="shared" si="20"/>
        <v>36026.599749049172</v>
      </c>
    </row>
    <row r="310" spans="1:10" x14ac:dyDescent="0.45">
      <c r="A310">
        <v>-6.3559468799212482E-3</v>
      </c>
      <c r="B310">
        <f t="shared" si="17"/>
        <v>4.039806074038065E-5</v>
      </c>
      <c r="F310">
        <f t="shared" si="21"/>
        <v>9.7453530717760934E-5</v>
      </c>
      <c r="G310" s="1">
        <f t="shared" si="22"/>
        <v>9.8718554850524901E-3</v>
      </c>
      <c r="H310" s="1">
        <f t="shared" si="18"/>
        <v>1.6239202272911347E-2</v>
      </c>
      <c r="I310">
        <f t="shared" si="19"/>
        <v>16239.202272911347</v>
      </c>
      <c r="J310">
        <f t="shared" si="20"/>
        <v>36311.960182598865</v>
      </c>
    </row>
    <row r="311" spans="1:10" x14ac:dyDescent="0.45">
      <c r="A311">
        <v>1.7977981769945472E-3</v>
      </c>
      <c r="B311">
        <f t="shared" si="17"/>
        <v>3.2320782852049174E-6</v>
      </c>
      <c r="F311">
        <f t="shared" si="21"/>
        <v>9.5672714511041087E-5</v>
      </c>
      <c r="G311" s="1">
        <f t="shared" si="22"/>
        <v>9.7812429941721152E-3</v>
      </c>
      <c r="H311" s="1">
        <f t="shared" si="18"/>
        <v>1.609014472541313E-2</v>
      </c>
      <c r="I311">
        <f t="shared" si="19"/>
        <v>16090.144725413129</v>
      </c>
      <c r="J311">
        <f t="shared" si="20"/>
        <v>35978.657373833448</v>
      </c>
    </row>
    <row r="312" spans="1:10" x14ac:dyDescent="0.45">
      <c r="A312">
        <v>2.5570216166670434E-3</v>
      </c>
      <c r="B312">
        <f t="shared" si="17"/>
        <v>6.5383595481025403E-6</v>
      </c>
      <c r="F312">
        <f t="shared" si="21"/>
        <v>9.2836140888117257E-5</v>
      </c>
      <c r="G312" s="1">
        <f t="shared" si="22"/>
        <v>9.6351513163062084E-3</v>
      </c>
      <c r="H312" s="1">
        <f t="shared" si="18"/>
        <v>1.5849823915323712E-2</v>
      </c>
      <c r="I312">
        <f t="shared" si="19"/>
        <v>15849.823915323712</v>
      </c>
      <c r="J312">
        <f t="shared" si="20"/>
        <v>35441.283706065689</v>
      </c>
    </row>
    <row r="313" spans="1:10" x14ac:dyDescent="0.45">
      <c r="A313">
        <v>-3.1073227546585258E-3</v>
      </c>
      <c r="B313">
        <f t="shared" si="17"/>
        <v>9.6554547016186492E-6</v>
      </c>
      <c r="F313">
        <f t="shared" si="21"/>
        <v>8.9981259678071395E-5</v>
      </c>
      <c r="G313" s="1">
        <f t="shared" si="22"/>
        <v>9.4858452273938881E-3</v>
      </c>
      <c r="H313" s="1">
        <f t="shared" si="18"/>
        <v>1.5604215399062945E-2</v>
      </c>
      <c r="I313">
        <f t="shared" si="19"/>
        <v>15604.215399062945</v>
      </c>
      <c r="J313">
        <f t="shared" si="20"/>
        <v>34892.086367853757</v>
      </c>
    </row>
    <row r="314" spans="1:10" x14ac:dyDescent="0.45">
      <c r="A314">
        <v>6.6670736487139948E-3</v>
      </c>
      <c r="B314">
        <f t="shared" si="17"/>
        <v>4.4449871037376538E-5</v>
      </c>
      <c r="F314">
        <f t="shared" si="21"/>
        <v>8.7442187960047287E-5</v>
      </c>
      <c r="G314" s="1">
        <f t="shared" si="22"/>
        <v>9.3510527728190729E-3</v>
      </c>
      <c r="H314" s="1">
        <f t="shared" si="18"/>
        <v>1.5382481811287376E-2</v>
      </c>
      <c r="I314">
        <f t="shared" si="19"/>
        <v>15382.481811287376</v>
      </c>
      <c r="J314">
        <f t="shared" si="20"/>
        <v>34396.27499269267</v>
      </c>
    </row>
    <row r="315" spans="1:10" x14ac:dyDescent="0.45">
      <c r="A315">
        <v>-1.0735402611317113E-2</v>
      </c>
      <c r="B315">
        <f t="shared" si="17"/>
        <v>1.1524886922707429E-4</v>
      </c>
      <c r="F315">
        <f t="shared" si="21"/>
        <v>8.6090231986688849E-5</v>
      </c>
      <c r="G315" s="1">
        <f t="shared" si="22"/>
        <v>9.2784822027467857E-3</v>
      </c>
      <c r="H315" s="1">
        <f t="shared" si="18"/>
        <v>1.5263103223518463E-2</v>
      </c>
      <c r="I315">
        <f t="shared" si="19"/>
        <v>15263.103223518463</v>
      </c>
      <c r="J315">
        <f t="shared" si="20"/>
        <v>34129.33635538345</v>
      </c>
    </row>
    <row r="316" spans="1:10" x14ac:dyDescent="0.45">
      <c r="A316">
        <v>-1.0937696970358957E-2</v>
      </c>
      <c r="B316">
        <f t="shared" si="17"/>
        <v>1.196332150153995E-4</v>
      </c>
      <c r="F316">
        <f t="shared" si="21"/>
        <v>8.6964303022703165E-5</v>
      </c>
      <c r="G316" s="1">
        <f t="shared" si="22"/>
        <v>9.3254652979196245E-3</v>
      </c>
      <c r="H316" s="1">
        <f t="shared" si="18"/>
        <v>1.5340390415077782E-2</v>
      </c>
      <c r="I316">
        <f t="shared" si="19"/>
        <v>15340.390415077782</v>
      </c>
      <c r="J316">
        <f t="shared" si="20"/>
        <v>34302.155769500139</v>
      </c>
    </row>
    <row r="317" spans="1:10" x14ac:dyDescent="0.45">
      <c r="A317">
        <v>-1.5321211321861483E-2</v>
      </c>
      <c r="B317">
        <f t="shared" si="17"/>
        <v>2.347395163691365E-4</v>
      </c>
      <c r="F317">
        <f t="shared" si="21"/>
        <v>8.7936027471034826E-5</v>
      </c>
      <c r="G317" s="1">
        <f t="shared" si="22"/>
        <v>9.3774211524829589E-3</v>
      </c>
      <c r="H317" s="1">
        <f t="shared" si="18"/>
        <v>1.5425857795834467E-2</v>
      </c>
      <c r="I317">
        <f t="shared" si="19"/>
        <v>15425.857795834467</v>
      </c>
      <c r="J317">
        <f t="shared" si="20"/>
        <v>34493.266642730945</v>
      </c>
    </row>
    <row r="318" spans="1:10" x14ac:dyDescent="0.45">
      <c r="A318">
        <v>5.6639692047610879E-3</v>
      </c>
      <c r="B318">
        <f t="shared" si="17"/>
        <v>3.208054715248195E-5</v>
      </c>
      <c r="F318">
        <f t="shared" si="21"/>
        <v>9.233466095159955E-5</v>
      </c>
      <c r="G318" s="1">
        <f t="shared" si="22"/>
        <v>9.6090926185358177E-3</v>
      </c>
      <c r="H318" s="1">
        <f t="shared" si="18"/>
        <v>1.5806957357491422E-2</v>
      </c>
      <c r="I318">
        <f t="shared" si="19"/>
        <v>15806.957357491421</v>
      </c>
      <c r="J318">
        <f t="shared" si="20"/>
        <v>35345.431168791263</v>
      </c>
    </row>
    <row r="319" spans="1:10" x14ac:dyDescent="0.45">
      <c r="A319">
        <v>-5.9742433222709224E-4</v>
      </c>
      <c r="B319">
        <f t="shared" si="17"/>
        <v>3.5691583273698708E-7</v>
      </c>
      <c r="F319">
        <f t="shared" si="21"/>
        <v>9.0513408107247153E-5</v>
      </c>
      <c r="G319" s="1">
        <f t="shared" si="22"/>
        <v>9.5138534835915549E-3</v>
      </c>
      <c r="H319" s="1">
        <f t="shared" si="18"/>
        <v>1.5650288980508107E-2</v>
      </c>
      <c r="I319">
        <f t="shared" si="19"/>
        <v>15650.288980508107</v>
      </c>
      <c r="J319">
        <f t="shared" si="20"/>
        <v>34995.110027932009</v>
      </c>
    </row>
    <row r="320" spans="1:10" x14ac:dyDescent="0.45">
      <c r="A320">
        <v>7.5997377280145884E-4</v>
      </c>
      <c r="B320">
        <f t="shared" si="17"/>
        <v>5.7756013534608337E-7</v>
      </c>
      <c r="F320">
        <f t="shared" si="21"/>
        <v>8.7807433232607064E-5</v>
      </c>
      <c r="G320" s="1">
        <f t="shared" si="22"/>
        <v>9.3705620553202178E-3</v>
      </c>
      <c r="H320" s="1">
        <f t="shared" si="18"/>
        <v>1.5414574581001759E-2</v>
      </c>
      <c r="I320">
        <f t="shared" si="19"/>
        <v>15414.57458100176</v>
      </c>
      <c r="J320">
        <f t="shared" si="20"/>
        <v>34468.036607360278</v>
      </c>
    </row>
    <row r="321" spans="1:10" x14ac:dyDescent="0.45">
      <c r="A321">
        <v>-3.0367459658009466E-3</v>
      </c>
      <c r="B321">
        <f t="shared" si="17"/>
        <v>9.221826060808324E-6</v>
      </c>
      <c r="F321">
        <f t="shared" si="21"/>
        <v>8.5176299028843393E-5</v>
      </c>
      <c r="G321" s="1">
        <f t="shared" si="22"/>
        <v>9.2291006619737003E-3</v>
      </c>
      <c r="H321" s="1">
        <f t="shared" si="18"/>
        <v>1.5181870588946737E-2</v>
      </c>
      <c r="I321">
        <f t="shared" si="19"/>
        <v>15181.870588946736</v>
      </c>
      <c r="J321">
        <f t="shared" si="20"/>
        <v>33947.694662489674</v>
      </c>
    </row>
    <row r="322" spans="1:10" x14ac:dyDescent="0.45">
      <c r="A322">
        <v>-8.4461134974844754E-3</v>
      </c>
      <c r="B322">
        <f t="shared" si="17"/>
        <v>7.1336833212389434E-5</v>
      </c>
      <c r="F322">
        <f t="shared" si="21"/>
        <v>8.2852861130209714E-5</v>
      </c>
      <c r="G322" s="1">
        <f t="shared" si="22"/>
        <v>9.1023547025047159E-3</v>
      </c>
      <c r="H322" s="1">
        <f t="shared" si="18"/>
        <v>1.4973373485620257E-2</v>
      </c>
      <c r="I322">
        <f t="shared" si="19"/>
        <v>14973.373485620257</v>
      </c>
      <c r="J322">
        <f t="shared" si="20"/>
        <v>33481.48096633987</v>
      </c>
    </row>
    <row r="323" spans="1:10" x14ac:dyDescent="0.45">
      <c r="A323">
        <v>1.3502176443580538E-2</v>
      </c>
      <c r="B323">
        <f t="shared" ref="B323:B386" si="23">A323^2</f>
        <v>1.8230876871358118E-4</v>
      </c>
      <c r="F323">
        <f t="shared" si="21"/>
        <v>8.2426109676269545E-5</v>
      </c>
      <c r="G323" s="1">
        <f t="shared" si="22"/>
        <v>9.0788826226727674E-3</v>
      </c>
      <c r="H323" s="1">
        <f t="shared" si="18"/>
        <v>1.4934761914296702E-2</v>
      </c>
      <c r="I323">
        <f t="shared" si="19"/>
        <v>14934.761914296701</v>
      </c>
      <c r="J323">
        <f t="shared" si="20"/>
        <v>33395.142868142313</v>
      </c>
    </row>
    <row r="324" spans="1:10" x14ac:dyDescent="0.45">
      <c r="A324">
        <v>1.5599243852193467E-2</v>
      </c>
      <c r="B324">
        <f t="shared" si="23"/>
        <v>2.433364087601957E-4</v>
      </c>
      <c r="F324">
        <f t="shared" si="21"/>
        <v>8.5420715135875436E-5</v>
      </c>
      <c r="G324" s="1">
        <f t="shared" si="22"/>
        <v>9.2423327756511464E-3</v>
      </c>
      <c r="H324" s="1">
        <f t="shared" si="18"/>
        <v>1.5203637415946136E-2</v>
      </c>
      <c r="I324">
        <f t="shared" si="19"/>
        <v>15203.637415946136</v>
      </c>
      <c r="J324">
        <f t="shared" si="20"/>
        <v>33996.366767314808</v>
      </c>
    </row>
    <row r="325" spans="1:10" x14ac:dyDescent="0.45">
      <c r="A325">
        <v>1.0226631275145337E-2</v>
      </c>
      <c r="B325">
        <f t="shared" si="23"/>
        <v>1.0458398723778074E-4</v>
      </c>
      <c r="F325">
        <f t="shared" si="21"/>
        <v>9.0146167181692061E-5</v>
      </c>
      <c r="G325" s="1">
        <f t="shared" si="22"/>
        <v>9.4945335420805205E-3</v>
      </c>
      <c r="H325" s="1">
        <f t="shared" si="18"/>
        <v>1.5618507676722456E-2</v>
      </c>
      <c r="I325">
        <f t="shared" si="19"/>
        <v>15618.507676722456</v>
      </c>
      <c r="J325">
        <f t="shared" si="20"/>
        <v>34924.044872253726</v>
      </c>
    </row>
    <row r="326" spans="1:10" x14ac:dyDescent="0.45">
      <c r="A326">
        <v>-9.4233882919070311E-3</v>
      </c>
      <c r="B326">
        <f t="shared" si="23"/>
        <v>8.8800246900050511E-5</v>
      </c>
      <c r="F326">
        <f t="shared" si="21"/>
        <v>9.0576075342244929E-5</v>
      </c>
      <c r="G326" s="1">
        <f t="shared" si="22"/>
        <v>9.5171463865091899E-3</v>
      </c>
      <c r="H326" s="1">
        <f t="shared" si="18"/>
        <v>1.5655705805807617E-2</v>
      </c>
      <c r="I326">
        <f t="shared" si="19"/>
        <v>15655.705805807618</v>
      </c>
      <c r="J326">
        <f t="shared" si="20"/>
        <v>35007.222417523961</v>
      </c>
    </row>
    <row r="327" spans="1:10" x14ac:dyDescent="0.45">
      <c r="A327">
        <v>-3.7148311093915254E-4</v>
      </c>
      <c r="B327">
        <f t="shared" si="23"/>
        <v>1.3799970171303071E-7</v>
      </c>
      <c r="F327">
        <f t="shared" si="21"/>
        <v>9.0519071325155978E-5</v>
      </c>
      <c r="G327" s="1">
        <f t="shared" si="22"/>
        <v>9.514151109014192E-3</v>
      </c>
      <c r="H327" s="1">
        <f t="shared" si="18"/>
        <v>1.5650778574328346E-2</v>
      </c>
      <c r="I327">
        <f t="shared" si="19"/>
        <v>15650.778574328346</v>
      </c>
      <c r="J327">
        <f t="shared" si="20"/>
        <v>34996.204792995428</v>
      </c>
    </row>
    <row r="328" spans="1:10" x14ac:dyDescent="0.45">
      <c r="A328">
        <v>1.2806322047254071E-2</v>
      </c>
      <c r="B328">
        <f t="shared" si="23"/>
        <v>1.6400188437798568E-4</v>
      </c>
      <c r="F328">
        <f t="shared" si="21"/>
        <v>8.7807152009998997E-5</v>
      </c>
      <c r="G328" s="1">
        <f t="shared" si="22"/>
        <v>9.3705470496657228E-3</v>
      </c>
      <c r="H328" s="1">
        <f t="shared" si="18"/>
        <v>1.5414549896700115E-2</v>
      </c>
      <c r="I328">
        <f t="shared" si="19"/>
        <v>15414.549896700115</v>
      </c>
      <c r="J328">
        <f t="shared" si="20"/>
        <v>34467.981411583816</v>
      </c>
    </row>
    <row r="329" spans="1:10" x14ac:dyDescent="0.45">
      <c r="A329">
        <v>-1.7604861568543129E-3</v>
      </c>
      <c r="B329">
        <f t="shared" si="23"/>
        <v>3.0993115084756682E-6</v>
      </c>
      <c r="F329">
        <f t="shared" si="21"/>
        <v>9.0092988725850098E-5</v>
      </c>
      <c r="G329" s="1">
        <f t="shared" si="22"/>
        <v>9.4917326514103884E-3</v>
      </c>
      <c r="H329" s="1">
        <f t="shared" si="18"/>
        <v>1.561390021157009E-2</v>
      </c>
      <c r="I329">
        <f t="shared" si="19"/>
        <v>15613.90021157009</v>
      </c>
      <c r="J329">
        <f t="shared" si="20"/>
        <v>34913.742266969071</v>
      </c>
    </row>
    <row r="330" spans="1:10" x14ac:dyDescent="0.45">
      <c r="A330">
        <v>8.4362454799702391E-4</v>
      </c>
      <c r="B330">
        <f t="shared" si="23"/>
        <v>7.1170237798318285E-7</v>
      </c>
      <c r="F330">
        <f t="shared" si="21"/>
        <v>8.747716016896635E-5</v>
      </c>
      <c r="G330" s="1">
        <f t="shared" si="22"/>
        <v>9.352922546935068E-3</v>
      </c>
      <c r="H330" s="1">
        <f t="shared" si="18"/>
        <v>1.5385557589708188E-2</v>
      </c>
      <c r="I330">
        <f t="shared" si="19"/>
        <v>15385.557589708187</v>
      </c>
      <c r="J330">
        <f t="shared" si="20"/>
        <v>34403.152642325324</v>
      </c>
    </row>
    <row r="331" spans="1:10" x14ac:dyDescent="0.45">
      <c r="A331">
        <v>2.2467816052085254E-3</v>
      </c>
      <c r="B331">
        <f t="shared" si="23"/>
        <v>5.0480275815033982E-6</v>
      </c>
      <c r="F331">
        <f t="shared" si="21"/>
        <v>8.4873130503117046E-5</v>
      </c>
      <c r="G331" s="1">
        <f t="shared" si="22"/>
        <v>9.2126614234496352E-3</v>
      </c>
      <c r="H331" s="1">
        <f t="shared" si="18"/>
        <v>1.515482804157465E-2</v>
      </c>
      <c r="I331">
        <f t="shared" si="19"/>
        <v>15154.82804157465</v>
      </c>
      <c r="J331">
        <f t="shared" si="20"/>
        <v>33887.225688280931</v>
      </c>
    </row>
    <row r="332" spans="1:10" x14ac:dyDescent="0.45">
      <c r="A332">
        <v>-5.1161350711481646E-4</v>
      </c>
      <c r="B332">
        <f t="shared" si="23"/>
        <v>2.6174838066232235E-7</v>
      </c>
      <c r="F332">
        <f t="shared" si="21"/>
        <v>8.2443890348978338E-5</v>
      </c>
      <c r="G332" s="1">
        <f t="shared" si="22"/>
        <v>9.0798618023061536E-3</v>
      </c>
      <c r="H332" s="1">
        <f t="shared" si="18"/>
        <v>1.4936372664793623E-2</v>
      </c>
      <c r="I332">
        <f t="shared" si="19"/>
        <v>14936.372664793622</v>
      </c>
      <c r="J332">
        <f t="shared" si="20"/>
        <v>33398.744615748219</v>
      </c>
    </row>
    <row r="333" spans="1:10" x14ac:dyDescent="0.45">
      <c r="A333">
        <v>4.5786009650328197E-3</v>
      </c>
      <c r="B333">
        <f t="shared" si="23"/>
        <v>2.0963586796999469E-5</v>
      </c>
      <c r="F333">
        <f t="shared" si="21"/>
        <v>7.9973295003578547E-5</v>
      </c>
      <c r="G333" s="1">
        <f t="shared" si="22"/>
        <v>8.9427789307115566E-3</v>
      </c>
      <c r="H333" s="1">
        <f t="shared" si="18"/>
        <v>1.4710871341020511E-2</v>
      </c>
      <c r="I333">
        <f t="shared" si="19"/>
        <v>14710.871341020511</v>
      </c>
      <c r="J333">
        <f t="shared" si="20"/>
        <v>32894.508326775358</v>
      </c>
    </row>
    <row r="334" spans="1:10" x14ac:dyDescent="0.45">
      <c r="A334">
        <v>1.0948838280455675E-2</v>
      </c>
      <c r="B334">
        <f t="shared" si="23"/>
        <v>1.1987705969157158E-4</v>
      </c>
      <c r="F334">
        <f t="shared" si="21"/>
        <v>7.8203003709328292E-5</v>
      </c>
      <c r="G334" s="1">
        <f t="shared" si="22"/>
        <v>8.8432462201008689E-3</v>
      </c>
      <c r="H334" s="1">
        <f t="shared" si="18"/>
        <v>1.454714003206593E-2</v>
      </c>
      <c r="I334">
        <f t="shared" si="19"/>
        <v>14547.14003206593</v>
      </c>
      <c r="J334">
        <f t="shared" si="20"/>
        <v>32528.393989907894</v>
      </c>
    </row>
    <row r="335" spans="1:10" x14ac:dyDescent="0.45">
      <c r="A335">
        <v>-4.732055458589457E-3</v>
      </c>
      <c r="B335">
        <f t="shared" si="23"/>
        <v>2.2392348863166276E-5</v>
      </c>
      <c r="F335">
        <f t="shared" si="21"/>
        <v>7.9417088798689351E-5</v>
      </c>
      <c r="G335" s="1">
        <f t="shared" si="22"/>
        <v>8.9116266079032596E-3</v>
      </c>
      <c r="H335" s="1">
        <f t="shared" si="18"/>
        <v>1.4659625770000862E-2</v>
      </c>
      <c r="I335">
        <f t="shared" si="19"/>
        <v>14659.625770000863</v>
      </c>
      <c r="J335">
        <f t="shared" si="20"/>
        <v>32779.91974642963</v>
      </c>
    </row>
    <row r="336" spans="1:10" x14ac:dyDescent="0.45">
      <c r="A336">
        <v>-3.4033519114018418E-3</v>
      </c>
      <c r="B336">
        <f t="shared" si="23"/>
        <v>1.158280423284257E-5</v>
      </c>
      <c r="F336">
        <f t="shared" si="21"/>
        <v>7.7694095149187593E-5</v>
      </c>
      <c r="G336" s="1">
        <f t="shared" si="22"/>
        <v>8.8144254009656E-3</v>
      </c>
      <c r="H336" s="1">
        <f t="shared" si="18"/>
        <v>1.4499729784588413E-2</v>
      </c>
      <c r="I336">
        <f t="shared" si="19"/>
        <v>14499.729784588413</v>
      </c>
      <c r="J336">
        <f t="shared" si="20"/>
        <v>32422.381453718077</v>
      </c>
    </row>
    <row r="337" spans="1:10" x14ac:dyDescent="0.45">
      <c r="A337">
        <v>-1.2511418390204199E-2</v>
      </c>
      <c r="B337">
        <f t="shared" si="23"/>
        <v>1.5653559013473981E-4</v>
      </c>
      <c r="F337">
        <f t="shared" si="21"/>
        <v>7.569588180156185E-5</v>
      </c>
      <c r="G337" s="1">
        <f t="shared" si="22"/>
        <v>8.7003380280056847E-3</v>
      </c>
      <c r="H337" s="1">
        <f t="shared" si="18"/>
        <v>1.4312056056069352E-2</v>
      </c>
      <c r="I337">
        <f t="shared" si="19"/>
        <v>14312.056056069352</v>
      </c>
      <c r="J337">
        <f t="shared" si="20"/>
        <v>32002.730239158613</v>
      </c>
    </row>
    <row r="338" spans="1:10" x14ac:dyDescent="0.45">
      <c r="A338">
        <v>-3.5553284760680981E-3</v>
      </c>
      <c r="B338">
        <f t="shared" si="23"/>
        <v>1.2640360572740705E-5</v>
      </c>
      <c r="F338">
        <f t="shared" si="21"/>
        <v>7.8099900867394746E-5</v>
      </c>
      <c r="G338" s="1">
        <f t="shared" si="22"/>
        <v>8.8374148294280471E-3</v>
      </c>
      <c r="H338" s="1">
        <f t="shared" si="18"/>
        <v>1.4537547394409137E-2</v>
      </c>
      <c r="I338">
        <f t="shared" si="19"/>
        <v>14537.547394409137</v>
      </c>
      <c r="J338">
        <f t="shared" si="20"/>
        <v>32506.94420002378</v>
      </c>
    </row>
    <row r="339" spans="1:10" x14ac:dyDescent="0.45">
      <c r="A339">
        <v>-5.2458517529885285E-3</v>
      </c>
      <c r="B339">
        <f t="shared" si="23"/>
        <v>2.7518960614332816E-5</v>
      </c>
      <c r="F339">
        <f t="shared" si="21"/>
        <v>7.6069541324439693E-5</v>
      </c>
      <c r="G339" s="1">
        <f t="shared" si="22"/>
        <v>8.7217854436141516E-3</v>
      </c>
      <c r="H339" s="1">
        <f t="shared" si="18"/>
        <v>1.4347337054745279E-2</v>
      </c>
      <c r="I339">
        <f t="shared" si="19"/>
        <v>14347.33705474528</v>
      </c>
      <c r="J339">
        <f t="shared" si="20"/>
        <v>32081.620950512068</v>
      </c>
    </row>
    <row r="340" spans="1:10" x14ac:dyDescent="0.45">
      <c r="A340">
        <v>1.0288658813806251E-4</v>
      </c>
      <c r="B340">
        <f t="shared" si="23"/>
        <v>1.0585650018691305E-8</v>
      </c>
      <c r="F340">
        <f t="shared" si="21"/>
        <v>7.4613021423283326E-5</v>
      </c>
      <c r="G340" s="1">
        <f t="shared" si="22"/>
        <v>8.6378829248423671E-3</v>
      </c>
      <c r="H340" s="1">
        <f t="shared" si="18"/>
        <v>1.4209317411365694E-2</v>
      </c>
      <c r="I340">
        <f t="shared" si="19"/>
        <v>14209.317411365693</v>
      </c>
      <c r="J340">
        <f t="shared" si="20"/>
        <v>31772.999645685035</v>
      </c>
    </row>
    <row r="341" spans="1:10" x14ac:dyDescent="0.45">
      <c r="A341">
        <v>1.3724388736591209E-2</v>
      </c>
      <c r="B341">
        <f t="shared" si="23"/>
        <v>1.8835884619307163E-4</v>
      </c>
      <c r="F341">
        <f t="shared" si="21"/>
        <v>7.2352288622018701E-5</v>
      </c>
      <c r="G341" s="1">
        <f t="shared" si="22"/>
        <v>8.5060148496236884E-3</v>
      </c>
      <c r="H341" s="1">
        <f t="shared" si="18"/>
        <v>1.3992394427630967E-2</v>
      </c>
      <c r="I341">
        <f t="shared" si="19"/>
        <v>13992.394427630967</v>
      </c>
      <c r="J341">
        <f t="shared" si="20"/>
        <v>31287.945108172105</v>
      </c>
    </row>
    <row r="342" spans="1:10" x14ac:dyDescent="0.45">
      <c r="A342">
        <v>1.0616395229590125E-2</v>
      </c>
      <c r="B342">
        <f t="shared" si="23"/>
        <v>1.1270784767086397E-4</v>
      </c>
      <c r="F342">
        <f t="shared" si="21"/>
        <v>7.5825914915684975E-5</v>
      </c>
      <c r="G342" s="1">
        <f t="shared" si="22"/>
        <v>8.7078076985935421E-3</v>
      </c>
      <c r="H342" s="1">
        <f t="shared" si="18"/>
        <v>1.4324343664186378E-2</v>
      </c>
      <c r="I342">
        <f t="shared" si="19"/>
        <v>14324.343664186377</v>
      </c>
      <c r="J342">
        <f t="shared" si="20"/>
        <v>32030.20616618916</v>
      </c>
    </row>
    <row r="343" spans="1:10" x14ac:dyDescent="0.45">
      <c r="A343">
        <v>-5.7702663980307989E-3</v>
      </c>
      <c r="B343">
        <f t="shared" si="23"/>
        <v>3.3295974304243328E-5</v>
      </c>
      <c r="F343">
        <f t="shared" si="21"/>
        <v>7.6930241767159891E-5</v>
      </c>
      <c r="G343" s="1">
        <f t="shared" si="22"/>
        <v>8.7709886425168682E-3</v>
      </c>
      <c r="H343" s="1">
        <f t="shared" si="18"/>
        <v>1.4428276316940249E-2</v>
      </c>
      <c r="I343">
        <f t="shared" si="19"/>
        <v>14428.276316940248</v>
      </c>
      <c r="J343">
        <f t="shared" si="20"/>
        <v>32262.606642828698</v>
      </c>
    </row>
    <row r="344" spans="1:10" x14ac:dyDescent="0.45">
      <c r="A344">
        <v>-1.2366854207357392E-3</v>
      </c>
      <c r="B344">
        <f t="shared" si="23"/>
        <v>1.5293908298603322E-6</v>
      </c>
      <c r="F344">
        <f t="shared" si="21"/>
        <v>7.5621203271519056E-5</v>
      </c>
      <c r="G344" s="1">
        <f t="shared" si="22"/>
        <v>8.69604526618388E-3</v>
      </c>
      <c r="H344" s="1">
        <f t="shared" si="18"/>
        <v>1.4304994462872483E-2</v>
      </c>
      <c r="I344">
        <f t="shared" si="19"/>
        <v>14304.994462872482</v>
      </c>
      <c r="J344">
        <f t="shared" si="20"/>
        <v>31986.940036740965</v>
      </c>
    </row>
    <row r="345" spans="1:10" x14ac:dyDescent="0.45">
      <c r="A345">
        <v>5.8976183936465532E-4</v>
      </c>
      <c r="B345">
        <f t="shared" si="23"/>
        <v>3.478190271707815E-7</v>
      </c>
      <c r="F345">
        <f t="shared" si="21"/>
        <v>7.3354196601386446E-5</v>
      </c>
      <c r="G345" s="1">
        <f t="shared" si="22"/>
        <v>8.5647064515595884E-3</v>
      </c>
      <c r="H345" s="1">
        <f t="shared" si="18"/>
        <v>1.4088942112815523E-2</v>
      </c>
      <c r="I345">
        <f t="shared" si="19"/>
        <v>14088.942112815523</v>
      </c>
      <c r="J345">
        <f t="shared" si="20"/>
        <v>31503.83229531502</v>
      </c>
    </row>
    <row r="346" spans="1:10" x14ac:dyDescent="0.45">
      <c r="A346">
        <v>-5.1373035603319295E-3</v>
      </c>
      <c r="B346">
        <f t="shared" si="23"/>
        <v>2.6391887870999119E-5</v>
      </c>
      <c r="F346">
        <f t="shared" si="21"/>
        <v>7.1140324134387679E-5</v>
      </c>
      <c r="G346" s="1">
        <f t="shared" si="22"/>
        <v>8.4344723684642939E-3</v>
      </c>
      <c r="H346" s="1">
        <f t="shared" ref="H346:H409" si="24">G346*$H$1</f>
        <v>1.3874707046123765E-2</v>
      </c>
      <c r="I346">
        <f t="shared" ref="I346:I409" si="25">H346*$K$1</f>
        <v>13874.707046123765</v>
      </c>
      <c r="J346">
        <f t="shared" ref="J346:J409" si="26">I346*SQRT($K$2)</f>
        <v>31024.788123028051</v>
      </c>
    </row>
    <row r="347" spans="1:10" x14ac:dyDescent="0.45">
      <c r="A347">
        <v>-6.4197365645668469E-3</v>
      </c>
      <c r="B347">
        <f t="shared" si="23"/>
        <v>4.1213017558436543E-5</v>
      </c>
      <c r="F347">
        <f t="shared" ref="F347:F410" si="27">(1-$E$1)*SUMPRODUCT($E$2:$E$152,B196:B346)</f>
        <v>6.9793974068171013E-5</v>
      </c>
      <c r="G347" s="1">
        <f t="shared" ref="G347:G410" si="28">SQRT(F347)</f>
        <v>8.3542787880325747E-3</v>
      </c>
      <c r="H347" s="1">
        <f t="shared" si="24"/>
        <v>1.3742788606313585E-2</v>
      </c>
      <c r="I347">
        <f t="shared" si="25"/>
        <v>13742.788606313585</v>
      </c>
      <c r="J347">
        <f t="shared" si="26"/>
        <v>30729.809524126773</v>
      </c>
    </row>
    <row r="348" spans="1:10" x14ac:dyDescent="0.45">
      <c r="A348">
        <v>-1.1714928405126557E-2</v>
      </c>
      <c r="B348">
        <f t="shared" si="23"/>
        <v>1.3723954753724104E-4</v>
      </c>
      <c r="F348">
        <f t="shared" si="27"/>
        <v>6.8936227891939835E-5</v>
      </c>
      <c r="G348" s="1">
        <f t="shared" si="28"/>
        <v>8.3027843457444944E-3</v>
      </c>
      <c r="H348" s="1">
        <f t="shared" si="24"/>
        <v>1.3658080248749694E-2</v>
      </c>
      <c r="I348">
        <f t="shared" si="25"/>
        <v>13658.080248749695</v>
      </c>
      <c r="J348">
        <f t="shared" si="26"/>
        <v>30540.395878351555</v>
      </c>
    </row>
    <row r="349" spans="1:10" x14ac:dyDescent="0.45">
      <c r="A349">
        <v>2.0726020011352375E-2</v>
      </c>
      <c r="B349">
        <f t="shared" si="23"/>
        <v>4.2956790551097914E-4</v>
      </c>
      <c r="F349">
        <f t="shared" si="27"/>
        <v>7.0980901773831485E-5</v>
      </c>
      <c r="G349" s="1">
        <f t="shared" si="28"/>
        <v>8.425016425730663E-3</v>
      </c>
      <c r="H349" s="1">
        <f t="shared" si="24"/>
        <v>1.3859152020326941E-2</v>
      </c>
      <c r="I349">
        <f t="shared" si="25"/>
        <v>13859.152020326941</v>
      </c>
      <c r="J349">
        <f t="shared" si="26"/>
        <v>30990.006027954591</v>
      </c>
    </row>
    <row r="350" spans="1:10" x14ac:dyDescent="0.45">
      <c r="A350">
        <v>4.6935838327044621E-3</v>
      </c>
      <c r="B350">
        <f t="shared" si="23"/>
        <v>2.2029729194624708E-5</v>
      </c>
      <c r="F350">
        <f t="shared" si="27"/>
        <v>8.1734413845201788E-5</v>
      </c>
      <c r="G350" s="1">
        <f t="shared" si="28"/>
        <v>9.0407087025963732E-3</v>
      </c>
      <c r="H350" s="1">
        <f t="shared" si="24"/>
        <v>1.4871965815771033E-2</v>
      </c>
      <c r="I350">
        <f t="shared" si="25"/>
        <v>14871.965815771033</v>
      </c>
      <c r="J350">
        <f t="shared" si="26"/>
        <v>33254.726523117148</v>
      </c>
    </row>
    <row r="351" spans="1:10" x14ac:dyDescent="0.45">
      <c r="A351">
        <v>-1.7131128515757155E-3</v>
      </c>
      <c r="B351">
        <f t="shared" si="23"/>
        <v>2.9347556422338794E-6</v>
      </c>
      <c r="F351">
        <f t="shared" si="27"/>
        <v>7.9940305264948299E-5</v>
      </c>
      <c r="G351" s="1">
        <f t="shared" si="28"/>
        <v>8.9409342501188486E-3</v>
      </c>
      <c r="H351" s="1">
        <f t="shared" si="24"/>
        <v>1.4707836841445505E-2</v>
      </c>
      <c r="I351">
        <f t="shared" si="25"/>
        <v>14707.836841445505</v>
      </c>
      <c r="J351">
        <f t="shared" si="26"/>
        <v>32887.72297944795</v>
      </c>
    </row>
    <row r="352" spans="1:10" x14ac:dyDescent="0.45">
      <c r="A352">
        <v>-1.6126750779221766E-2</v>
      </c>
      <c r="B352">
        <f t="shared" si="23"/>
        <v>2.6007209069512982E-4</v>
      </c>
      <c r="F352">
        <f t="shared" si="27"/>
        <v>7.7630138739115683E-5</v>
      </c>
      <c r="G352" s="1">
        <f t="shared" si="28"/>
        <v>8.8107967142089759E-3</v>
      </c>
      <c r="H352" s="1">
        <f t="shared" si="24"/>
        <v>1.4493760594873766E-2</v>
      </c>
      <c r="I352">
        <f t="shared" si="25"/>
        <v>14493.760594873766</v>
      </c>
      <c r="J352">
        <f t="shared" si="26"/>
        <v>32409.033939745532</v>
      </c>
    </row>
    <row r="353" spans="1:10" x14ac:dyDescent="0.45">
      <c r="A353">
        <v>7.7330014391918667E-3</v>
      </c>
      <c r="B353">
        <f t="shared" si="23"/>
        <v>5.9799311258543484E-5</v>
      </c>
      <c r="F353">
        <f t="shared" si="27"/>
        <v>8.3088116359780658E-5</v>
      </c>
      <c r="G353" s="1">
        <f t="shared" si="28"/>
        <v>9.115268309807488E-3</v>
      </c>
      <c r="H353" s="1">
        <f t="shared" si="24"/>
        <v>1.4994616369633318E-2</v>
      </c>
      <c r="I353">
        <f t="shared" si="25"/>
        <v>14994.616369633317</v>
      </c>
      <c r="J353">
        <f t="shared" si="26"/>
        <v>33528.981499031215</v>
      </c>
    </row>
    <row r="354" spans="1:10" x14ac:dyDescent="0.45">
      <c r="A354">
        <v>4.4321154746285174E-3</v>
      </c>
      <c r="B354">
        <f t="shared" si="23"/>
        <v>1.964364758044157E-5</v>
      </c>
      <c r="F354">
        <f t="shared" si="27"/>
        <v>8.228854200555236E-5</v>
      </c>
      <c r="G354" s="1">
        <f t="shared" si="28"/>
        <v>9.0713032142880311E-3</v>
      </c>
      <c r="H354" s="1">
        <f t="shared" si="24"/>
        <v>1.4922293787503812E-2</v>
      </c>
      <c r="I354">
        <f t="shared" si="25"/>
        <v>14922.293787503811</v>
      </c>
      <c r="J354">
        <f t="shared" si="26"/>
        <v>33367.263289081326</v>
      </c>
    </row>
    <row r="355" spans="1:10" x14ac:dyDescent="0.45">
      <c r="A355">
        <v>6.69192559143994E-3</v>
      </c>
      <c r="B355">
        <f t="shared" si="23"/>
        <v>4.4781868121368794E-5</v>
      </c>
      <c r="F355">
        <f t="shared" si="27"/>
        <v>8.0404305263253827E-5</v>
      </c>
      <c r="G355" s="1">
        <f t="shared" si="28"/>
        <v>8.9668447774707144E-3</v>
      </c>
      <c r="H355" s="1">
        <f t="shared" si="24"/>
        <v>1.4750459658939325E-2</v>
      </c>
      <c r="I355">
        <f t="shared" si="25"/>
        <v>14750.459658939326</v>
      </c>
      <c r="J355">
        <f t="shared" si="26"/>
        <v>32983.030496756699</v>
      </c>
    </row>
    <row r="356" spans="1:10" x14ac:dyDescent="0.45">
      <c r="A356">
        <v>1.1488509699120186E-2</v>
      </c>
      <c r="B356">
        <f t="shared" si="23"/>
        <v>1.3198585510677859E-4</v>
      </c>
      <c r="F356">
        <f t="shared" si="27"/>
        <v>7.9332224606955585E-5</v>
      </c>
      <c r="G356" s="1">
        <f t="shared" si="28"/>
        <v>8.9068639041446889E-3</v>
      </c>
      <c r="H356" s="1">
        <f t="shared" si="24"/>
        <v>1.4651791122318014E-2</v>
      </c>
      <c r="I356">
        <f t="shared" si="25"/>
        <v>14651.791122318014</v>
      </c>
      <c r="J356">
        <f t="shared" si="26"/>
        <v>32762.400941631018</v>
      </c>
    </row>
    <row r="357" spans="1:10" x14ac:dyDescent="0.45">
      <c r="A357">
        <v>-1.272337613045238E-2</v>
      </c>
      <c r="B357">
        <f t="shared" si="23"/>
        <v>1.6188430015696536E-4</v>
      </c>
      <c r="F357">
        <f t="shared" si="27"/>
        <v>8.0885199982032177E-5</v>
      </c>
      <c r="G357" s="1">
        <f t="shared" si="28"/>
        <v>8.9936199598399848E-3</v>
      </c>
      <c r="H357" s="1">
        <f t="shared" si="24"/>
        <v>1.4794504833936776E-2</v>
      </c>
      <c r="I357">
        <f t="shared" si="25"/>
        <v>14794.504833936775</v>
      </c>
      <c r="J357">
        <f t="shared" si="26"/>
        <v>33081.518502131868</v>
      </c>
    </row>
    <row r="358" spans="1:10" x14ac:dyDescent="0.45">
      <c r="A358">
        <v>-1.5155137589317746E-2</v>
      </c>
      <c r="B358">
        <f t="shared" si="23"/>
        <v>2.2967819535115171E-4</v>
      </c>
      <c r="F358">
        <f t="shared" si="27"/>
        <v>8.3314300213176417E-5</v>
      </c>
      <c r="G358" s="1">
        <f t="shared" si="28"/>
        <v>9.1276667452956685E-3</v>
      </c>
      <c r="H358" s="1">
        <f t="shared" si="24"/>
        <v>1.5015011796011375E-2</v>
      </c>
      <c r="I358">
        <f t="shared" si="25"/>
        <v>15015.011796011375</v>
      </c>
      <c r="J358">
        <f t="shared" si="26"/>
        <v>33574.587058842641</v>
      </c>
    </row>
    <row r="359" spans="1:10" x14ac:dyDescent="0.45">
      <c r="A359">
        <v>-3.6966639527236111E-3</v>
      </c>
      <c r="B359">
        <f t="shared" si="23"/>
        <v>1.3665324379366154E-5</v>
      </c>
      <c r="F359">
        <f t="shared" si="27"/>
        <v>8.7704662640037485E-5</v>
      </c>
      <c r="G359" s="1">
        <f t="shared" si="28"/>
        <v>9.3650767556938633E-3</v>
      </c>
      <c r="H359" s="1">
        <f t="shared" si="24"/>
        <v>1.5405551263116405E-2</v>
      </c>
      <c r="I359">
        <f t="shared" si="25"/>
        <v>15405.551263116406</v>
      </c>
      <c r="J359">
        <f t="shared" si="26"/>
        <v>34447.859855186034</v>
      </c>
    </row>
    <row r="360" spans="1:10" x14ac:dyDescent="0.45">
      <c r="A360">
        <v>-1.2658347259275615E-2</v>
      </c>
      <c r="B360">
        <f t="shared" si="23"/>
        <v>1.6023375533641047E-4</v>
      </c>
      <c r="F360">
        <f t="shared" si="27"/>
        <v>8.5462067432233099E-5</v>
      </c>
      <c r="G360" s="1">
        <f t="shared" si="28"/>
        <v>9.2445696185508332E-3</v>
      </c>
      <c r="H360" s="1">
        <f t="shared" si="24"/>
        <v>1.5207317022516121E-2</v>
      </c>
      <c r="I360">
        <f t="shared" si="25"/>
        <v>15207.317022516121</v>
      </c>
      <c r="J360">
        <f t="shared" si="26"/>
        <v>34004.594617735747</v>
      </c>
    </row>
    <row r="361" spans="1:10" x14ac:dyDescent="0.45">
      <c r="A361">
        <v>-2.1114919945830479E-2</v>
      </c>
      <c r="B361">
        <f t="shared" si="23"/>
        <v>4.4583984431882982E-4</v>
      </c>
      <c r="F361">
        <f t="shared" si="27"/>
        <v>8.7680036544943342E-5</v>
      </c>
      <c r="G361" s="1">
        <f t="shared" si="28"/>
        <v>9.3637618799787582E-3</v>
      </c>
      <c r="H361" s="1">
        <f t="shared" si="24"/>
        <v>1.5403388292565058E-2</v>
      </c>
      <c r="I361">
        <f t="shared" si="25"/>
        <v>15403.388292565058</v>
      </c>
      <c r="J361">
        <f t="shared" si="26"/>
        <v>34443.023305999886</v>
      </c>
    </row>
    <row r="362" spans="1:10" x14ac:dyDescent="0.45">
      <c r="A362">
        <v>-6.3831294028204866E-3</v>
      </c>
      <c r="B362">
        <f t="shared" si="23"/>
        <v>4.0744340973151422E-5</v>
      </c>
      <c r="F362">
        <f t="shared" si="27"/>
        <v>9.8388611399469864E-5</v>
      </c>
      <c r="G362" s="1">
        <f t="shared" si="28"/>
        <v>9.9191033566280503E-3</v>
      </c>
      <c r="H362" s="1">
        <f t="shared" si="24"/>
        <v>1.6316925021653144E-2</v>
      </c>
      <c r="I362">
        <f t="shared" si="25"/>
        <v>16316.925021653144</v>
      </c>
      <c r="J362">
        <f t="shared" si="26"/>
        <v>36485.753532183662</v>
      </c>
    </row>
    <row r="363" spans="1:10" x14ac:dyDescent="0.45">
      <c r="A363">
        <v>5.2783548198931385E-3</v>
      </c>
      <c r="B363">
        <f t="shared" si="23"/>
        <v>2.7861029604689126E-5</v>
      </c>
      <c r="F363">
        <f t="shared" si="27"/>
        <v>9.6638405930191837E-5</v>
      </c>
      <c r="G363" s="1">
        <f t="shared" si="28"/>
        <v>9.8304835043954899E-3</v>
      </c>
      <c r="H363" s="1">
        <f t="shared" si="24"/>
        <v>1.617114536473058E-2</v>
      </c>
      <c r="I363">
        <f t="shared" si="25"/>
        <v>16171.145364730581</v>
      </c>
      <c r="J363">
        <f t="shared" si="26"/>
        <v>36159.78030956821</v>
      </c>
    </row>
    <row r="364" spans="1:10" x14ac:dyDescent="0.45">
      <c r="A364">
        <v>1.7152115106000565E-2</v>
      </c>
      <c r="B364">
        <f t="shared" si="23"/>
        <v>2.941950526094928E-4</v>
      </c>
      <c r="F364">
        <f t="shared" si="27"/>
        <v>9.4551336837798441E-5</v>
      </c>
      <c r="G364" s="1">
        <f t="shared" si="28"/>
        <v>9.7237511711169601E-3</v>
      </c>
      <c r="H364" s="1">
        <f t="shared" si="24"/>
        <v>1.5995570676487398E-2</v>
      </c>
      <c r="I364">
        <f t="shared" si="25"/>
        <v>15995.570676487398</v>
      </c>
      <c r="J364">
        <f t="shared" si="26"/>
        <v>35767.183371528117</v>
      </c>
    </row>
    <row r="365" spans="1:10" x14ac:dyDescent="0.45">
      <c r="A365">
        <v>5.0458652367524337E-3</v>
      </c>
      <c r="B365">
        <f t="shared" si="23"/>
        <v>2.5460755987466692E-5</v>
      </c>
      <c r="F365">
        <f t="shared" si="27"/>
        <v>1.0052317866895397E-4</v>
      </c>
      <c r="G365" s="1">
        <f t="shared" si="28"/>
        <v>1.0026124808167608E-2</v>
      </c>
      <c r="H365" s="1">
        <f t="shared" si="24"/>
        <v>1.6492975309435717E-2</v>
      </c>
      <c r="I365">
        <f t="shared" si="25"/>
        <v>16492.975309435718</v>
      </c>
      <c r="J365">
        <f t="shared" si="26"/>
        <v>36879.413943123895</v>
      </c>
    </row>
    <row r="366" spans="1:10" x14ac:dyDescent="0.45">
      <c r="A366">
        <v>8.2930228018085472E-3</v>
      </c>
      <c r="B366">
        <f t="shared" si="23"/>
        <v>6.8774227191316489E-5</v>
      </c>
      <c r="F366">
        <f t="shared" si="27"/>
        <v>9.825378943533543E-5</v>
      </c>
      <c r="G366" s="1">
        <f t="shared" si="28"/>
        <v>9.912304950683036E-3</v>
      </c>
      <c r="H366" s="1">
        <f t="shared" si="24"/>
        <v>1.6305741643873595E-2</v>
      </c>
      <c r="I366">
        <f t="shared" si="25"/>
        <v>16305.741643873595</v>
      </c>
      <c r="J366">
        <f t="shared" si="26"/>
        <v>36460.746739250528</v>
      </c>
    </row>
    <row r="367" spans="1:10" x14ac:dyDescent="0.45">
      <c r="A367">
        <v>2.1268988348310813E-3</v>
      </c>
      <c r="B367">
        <f t="shared" si="23"/>
        <v>4.5236986536058112E-6</v>
      </c>
      <c r="F367">
        <f t="shared" si="27"/>
        <v>9.7357071683748479E-5</v>
      </c>
      <c r="G367" s="1">
        <f t="shared" si="28"/>
        <v>9.8669687180890815E-3</v>
      </c>
      <c r="H367" s="1">
        <f t="shared" si="24"/>
        <v>1.6231163541256539E-2</v>
      </c>
      <c r="I367">
        <f t="shared" si="25"/>
        <v>16231.163541256539</v>
      </c>
      <c r="J367">
        <f t="shared" si="26"/>
        <v>36293.985032165838</v>
      </c>
    </row>
    <row r="368" spans="1:10" x14ac:dyDescent="0.45">
      <c r="A368">
        <v>-4.5930391934234649E-3</v>
      </c>
      <c r="B368">
        <f t="shared" si="23"/>
        <v>2.1096009032324072E-5</v>
      </c>
      <c r="F368">
        <f t="shared" si="27"/>
        <v>9.4571710229817191E-5</v>
      </c>
      <c r="G368" s="1">
        <f t="shared" si="28"/>
        <v>9.7247987243858774E-3</v>
      </c>
      <c r="H368" s="1">
        <f t="shared" si="24"/>
        <v>1.5997293901614768E-2</v>
      </c>
      <c r="I368">
        <f t="shared" si="25"/>
        <v>15997.293901614768</v>
      </c>
      <c r="J368">
        <f t="shared" si="26"/>
        <v>35771.036620053455</v>
      </c>
    </row>
    <row r="369" spans="1:10" x14ac:dyDescent="0.45">
      <c r="A369">
        <v>-1.2101963875466026E-2</v>
      </c>
      <c r="B369">
        <f t="shared" si="23"/>
        <v>1.4645752964308469E-4</v>
      </c>
      <c r="F369">
        <f t="shared" si="27"/>
        <v>9.232304686739281E-5</v>
      </c>
      <c r="G369" s="1">
        <f t="shared" si="28"/>
        <v>9.6084882716998103E-3</v>
      </c>
      <c r="H369" s="1">
        <f t="shared" si="24"/>
        <v>1.5805963206946189E-2</v>
      </c>
      <c r="I369">
        <f t="shared" si="25"/>
        <v>15805.963206946188</v>
      </c>
      <c r="J369">
        <f t="shared" si="26"/>
        <v>35343.208180592257</v>
      </c>
    </row>
    <row r="370" spans="1:10" x14ac:dyDescent="0.45">
      <c r="A370">
        <v>-5.6128556025214493E-3</v>
      </c>
      <c r="B370">
        <f t="shared" si="23"/>
        <v>3.1504148014756419E-5</v>
      </c>
      <c r="F370">
        <f t="shared" si="27"/>
        <v>9.3945359121426521E-5</v>
      </c>
      <c r="G370" s="1">
        <f t="shared" si="28"/>
        <v>9.6925414170601579E-3</v>
      </c>
      <c r="H370" s="1">
        <f t="shared" si="24"/>
        <v>1.5944230631063962E-2</v>
      </c>
      <c r="I370">
        <f t="shared" si="25"/>
        <v>15944.230631063961</v>
      </c>
      <c r="J370">
        <f t="shared" si="26"/>
        <v>35652.383539993389</v>
      </c>
    </row>
    <row r="371" spans="1:10" x14ac:dyDescent="0.45">
      <c r="A371">
        <v>1.5484056348213926E-2</v>
      </c>
      <c r="B371">
        <f t="shared" si="23"/>
        <v>2.3975600099466397E-4</v>
      </c>
      <c r="F371">
        <f t="shared" si="27"/>
        <v>9.2062396208696006E-5</v>
      </c>
      <c r="G371" s="1">
        <f t="shared" si="28"/>
        <v>9.5949151225373543E-3</v>
      </c>
      <c r="H371" s="1">
        <f t="shared" si="24"/>
        <v>1.5783635376573946E-2</v>
      </c>
      <c r="I371">
        <f t="shared" si="25"/>
        <v>15783.635376573946</v>
      </c>
      <c r="J371">
        <f t="shared" si="26"/>
        <v>35293.281634089835</v>
      </c>
    </row>
    <row r="372" spans="1:10" x14ac:dyDescent="0.45">
      <c r="A372">
        <v>8.9507921074982733E-4</v>
      </c>
      <c r="B372">
        <f t="shared" si="23"/>
        <v>8.011667935165338E-7</v>
      </c>
      <c r="F372">
        <f t="shared" si="27"/>
        <v>9.6478613921940838E-5</v>
      </c>
      <c r="G372" s="1">
        <f t="shared" si="28"/>
        <v>9.8223527691658902E-3</v>
      </c>
      <c r="H372" s="1">
        <f t="shared" si="24"/>
        <v>1.6157770305277888E-2</v>
      </c>
      <c r="I372">
        <f t="shared" si="25"/>
        <v>16157.770305277889</v>
      </c>
      <c r="J372">
        <f t="shared" si="26"/>
        <v>36129.872767428889</v>
      </c>
    </row>
    <row r="373" spans="1:10" x14ac:dyDescent="0.45">
      <c r="A373">
        <v>-3.5064886105828919E-3</v>
      </c>
      <c r="B373">
        <f t="shared" si="23"/>
        <v>1.2295462376147539E-5</v>
      </c>
      <c r="F373">
        <f t="shared" si="27"/>
        <v>9.3607988073913582E-5</v>
      </c>
      <c r="G373" s="1">
        <f t="shared" si="28"/>
        <v>9.6751221219121362E-3</v>
      </c>
      <c r="H373" s="1">
        <f t="shared" si="24"/>
        <v>1.5915575890545465E-2</v>
      </c>
      <c r="I373">
        <f t="shared" si="25"/>
        <v>15915.575890545466</v>
      </c>
      <c r="J373">
        <f t="shared" si="26"/>
        <v>35588.309592316415</v>
      </c>
    </row>
    <row r="374" spans="1:10" x14ac:dyDescent="0.45">
      <c r="A374">
        <v>5.6065914577629883E-3</v>
      </c>
      <c r="B374">
        <f t="shared" si="23"/>
        <v>3.1433867774260912E-5</v>
      </c>
      <c r="F374">
        <f t="shared" si="27"/>
        <v>9.1166180755480842E-5</v>
      </c>
      <c r="G374" s="1">
        <f t="shared" si="28"/>
        <v>9.5480982795256592E-3</v>
      </c>
      <c r="H374" s="1">
        <f t="shared" si="24"/>
        <v>1.5706621669819711E-2</v>
      </c>
      <c r="I374">
        <f t="shared" si="25"/>
        <v>15706.621669819711</v>
      </c>
      <c r="J374">
        <f t="shared" si="26"/>
        <v>35121.073750588133</v>
      </c>
    </row>
    <row r="375" spans="1:10" x14ac:dyDescent="0.45">
      <c r="A375">
        <v>3.215882315998897E-3</v>
      </c>
      <c r="B375">
        <f t="shared" si="23"/>
        <v>1.0341899070354428E-5</v>
      </c>
      <c r="F375">
        <f t="shared" si="27"/>
        <v>8.9350944866797843E-5</v>
      </c>
      <c r="G375" s="1">
        <f t="shared" si="28"/>
        <v>9.4525628729354577E-3</v>
      </c>
      <c r="H375" s="1">
        <f t="shared" si="24"/>
        <v>1.5549465925978828E-2</v>
      </c>
      <c r="I375">
        <f t="shared" si="25"/>
        <v>15549.465925978828</v>
      </c>
      <c r="J375">
        <f t="shared" si="26"/>
        <v>34769.662824305371</v>
      </c>
    </row>
    <row r="376" spans="1:10" x14ac:dyDescent="0.45">
      <c r="A376">
        <v>-1.1325755622237921E-2</v>
      </c>
      <c r="B376">
        <f t="shared" si="23"/>
        <v>1.2827274041465387E-4</v>
      </c>
      <c r="F376">
        <f t="shared" si="27"/>
        <v>8.6978605396137361E-5</v>
      </c>
      <c r="G376" s="1">
        <f t="shared" si="28"/>
        <v>9.3262321114229926E-3</v>
      </c>
      <c r="H376" s="1">
        <f t="shared" si="24"/>
        <v>1.5341651823290822E-2</v>
      </c>
      <c r="I376">
        <f t="shared" si="25"/>
        <v>15341.651823290822</v>
      </c>
      <c r="J376">
        <f t="shared" si="26"/>
        <v>34304.976364011869</v>
      </c>
    </row>
    <row r="377" spans="1:10" x14ac:dyDescent="0.45">
      <c r="A377">
        <v>3.220047801733017E-2</v>
      </c>
      <c r="B377">
        <f t="shared" si="23"/>
        <v>1.0368707845445635E-3</v>
      </c>
      <c r="F377">
        <f t="shared" si="27"/>
        <v>8.8217378969028575E-5</v>
      </c>
      <c r="G377" s="1">
        <f t="shared" si="28"/>
        <v>9.3924107112619698E-3</v>
      </c>
      <c r="H377" s="1">
        <f t="shared" si="24"/>
        <v>1.545051562002594E-2</v>
      </c>
      <c r="I377">
        <f t="shared" si="25"/>
        <v>15450.515620025941</v>
      </c>
      <c r="J377">
        <f t="shared" si="26"/>
        <v>34548.403213800317</v>
      </c>
    </row>
    <row r="378" spans="1:10" x14ac:dyDescent="0.45">
      <c r="A378">
        <v>-1.8779246602207422E-3</v>
      </c>
      <c r="B378">
        <f t="shared" si="23"/>
        <v>3.5266010294651901E-6</v>
      </c>
      <c r="F378">
        <f t="shared" si="27"/>
        <v>1.1648241293696606E-4</v>
      </c>
      <c r="G378" s="1">
        <f t="shared" si="28"/>
        <v>1.0792701836749038E-2</v>
      </c>
      <c r="H378" s="1">
        <f t="shared" si="24"/>
        <v>1.7753994521452168E-2</v>
      </c>
      <c r="I378">
        <f t="shared" si="25"/>
        <v>17753.994521452169</v>
      </c>
      <c r="J378">
        <f t="shared" si="26"/>
        <v>39699.138622125902</v>
      </c>
    </row>
    <row r="379" spans="1:10" x14ac:dyDescent="0.45">
      <c r="A379">
        <v>-2.2372660168912262E-2</v>
      </c>
      <c r="B379">
        <f t="shared" si="23"/>
        <v>5.0053592303363323E-4</v>
      </c>
      <c r="F379">
        <f t="shared" si="27"/>
        <v>1.1305297528247074E-4</v>
      </c>
      <c r="G379" s="1">
        <f t="shared" si="28"/>
        <v>1.0632637268451827E-2</v>
      </c>
      <c r="H379" s="1">
        <f t="shared" si="24"/>
        <v>1.7490688306603257E-2</v>
      </c>
      <c r="I379">
        <f t="shared" si="25"/>
        <v>17490.688306603257</v>
      </c>
      <c r="J379">
        <f t="shared" si="26"/>
        <v>39110.36802682557</v>
      </c>
    </row>
    <row r="380" spans="1:10" x14ac:dyDescent="0.45">
      <c r="A380">
        <v>-7.914809430076275E-3</v>
      </c>
      <c r="B380">
        <f t="shared" si="23"/>
        <v>6.2644208314424323E-5</v>
      </c>
      <c r="F380">
        <f t="shared" si="27"/>
        <v>1.2462440228510816E-4</v>
      </c>
      <c r="G380" s="1">
        <f t="shared" si="28"/>
        <v>1.1163530010041991E-2</v>
      </c>
      <c r="H380" s="1">
        <f t="shared" si="24"/>
        <v>1.8364006866519077E-2</v>
      </c>
      <c r="I380">
        <f t="shared" si="25"/>
        <v>18364.006866519077</v>
      </c>
      <c r="J380">
        <f t="shared" si="26"/>
        <v>41063.167692809569</v>
      </c>
    </row>
    <row r="381" spans="1:10" x14ac:dyDescent="0.45">
      <c r="A381">
        <v>1.0018879947892856E-3</v>
      </c>
      <c r="B381">
        <f t="shared" si="23"/>
        <v>1.0037795541028956E-6</v>
      </c>
      <c r="F381">
        <f t="shared" si="27"/>
        <v>1.2265223535446723E-4</v>
      </c>
      <c r="G381" s="1">
        <f t="shared" si="28"/>
        <v>1.1074846967541683E-2</v>
      </c>
      <c r="H381" s="1">
        <f t="shared" si="24"/>
        <v>1.8218123261606069E-2</v>
      </c>
      <c r="I381">
        <f t="shared" si="25"/>
        <v>18218.12326160607</v>
      </c>
      <c r="J381">
        <f t="shared" si="26"/>
        <v>40736.962035421355</v>
      </c>
    </row>
    <row r="382" spans="1:10" x14ac:dyDescent="0.45">
      <c r="A382">
        <v>8.8463366409996524E-3</v>
      </c>
      <c r="B382">
        <f t="shared" si="23"/>
        <v>7.825767196589301E-5</v>
      </c>
      <c r="F382">
        <f t="shared" si="27"/>
        <v>1.1898570272122785E-4</v>
      </c>
      <c r="G382" s="1">
        <f t="shared" si="28"/>
        <v>1.0908056780253202E-2</v>
      </c>
      <c r="H382" s="1">
        <f t="shared" si="24"/>
        <v>1.7943753403516519E-2</v>
      </c>
      <c r="I382">
        <f t="shared" si="25"/>
        <v>17943.753403516519</v>
      </c>
      <c r="J382">
        <f t="shared" si="26"/>
        <v>40123.452381756149</v>
      </c>
    </row>
    <row r="383" spans="1:10" x14ac:dyDescent="0.45">
      <c r="A383">
        <v>3.2852426556928549E-3</v>
      </c>
      <c r="B383">
        <f t="shared" si="23"/>
        <v>1.0792819306783842E-5</v>
      </c>
      <c r="F383">
        <f t="shared" si="27"/>
        <v>1.1776379441562591E-4</v>
      </c>
      <c r="G383" s="1">
        <f t="shared" si="28"/>
        <v>1.085190280161161E-2</v>
      </c>
      <c r="H383" s="1">
        <f t="shared" si="24"/>
        <v>1.7851380108651099E-2</v>
      </c>
      <c r="I383">
        <f t="shared" si="25"/>
        <v>17851.380108651098</v>
      </c>
      <c r="J383">
        <f t="shared" si="26"/>
        <v>39916.89941513144</v>
      </c>
    </row>
    <row r="384" spans="1:10" x14ac:dyDescent="0.45">
      <c r="A384">
        <v>3.7097834137966856E-3</v>
      </c>
      <c r="B384">
        <f t="shared" si="23"/>
        <v>1.3762492977280991E-5</v>
      </c>
      <c r="F384">
        <f t="shared" si="27"/>
        <v>1.1449966831272997E-4</v>
      </c>
      <c r="G384" s="1">
        <f t="shared" si="28"/>
        <v>1.0700451780776827E-2</v>
      </c>
      <c r="H384" s="1">
        <f t="shared" si="24"/>
        <v>1.7602243179377881E-2</v>
      </c>
      <c r="I384">
        <f t="shared" si="25"/>
        <v>17602.243179377881</v>
      </c>
      <c r="J384">
        <f t="shared" si="26"/>
        <v>39359.812305570966</v>
      </c>
    </row>
    <row r="385" spans="1:10" x14ac:dyDescent="0.45">
      <c r="A385">
        <v>2.6020984478236642E-3</v>
      </c>
      <c r="B385">
        <f t="shared" si="23"/>
        <v>6.7709163321663228E-6</v>
      </c>
      <c r="F385">
        <f t="shared" si="27"/>
        <v>1.1147607516873905E-4</v>
      </c>
      <c r="G385" s="1">
        <f t="shared" si="28"/>
        <v>1.0558223106599852E-2</v>
      </c>
      <c r="H385" s="1">
        <f t="shared" si="24"/>
        <v>1.7368277010356759E-2</v>
      </c>
      <c r="I385">
        <f t="shared" si="25"/>
        <v>17368.27701035676</v>
      </c>
      <c r="J385">
        <f t="shared" si="26"/>
        <v>38836.648047204537</v>
      </c>
    </row>
    <row r="386" spans="1:10" x14ac:dyDescent="0.45">
      <c r="A386">
        <v>2.5297777028754354E-2</v>
      </c>
      <c r="B386">
        <f t="shared" si="23"/>
        <v>6.3997752259657139E-4</v>
      </c>
      <c r="F386">
        <f t="shared" si="27"/>
        <v>1.0832594382767418E-4</v>
      </c>
      <c r="G386" s="1">
        <f t="shared" si="28"/>
        <v>1.0407975010907462E-2</v>
      </c>
      <c r="H386" s="1">
        <f t="shared" si="24"/>
        <v>1.7121118892942776E-2</v>
      </c>
      <c r="I386">
        <f t="shared" si="25"/>
        <v>17121.118892942777</v>
      </c>
      <c r="J386">
        <f t="shared" si="26"/>
        <v>38283.985695475996</v>
      </c>
    </row>
    <row r="387" spans="1:10" x14ac:dyDescent="0.45">
      <c r="A387">
        <v>4.5234401113702916E-3</v>
      </c>
      <c r="B387">
        <f t="shared" ref="B387:B450" si="29">A387^2</f>
        <v>2.0461510441153676E-5</v>
      </c>
      <c r="F387">
        <f t="shared" si="27"/>
        <v>1.2427390556373792E-4</v>
      </c>
      <c r="G387" s="1">
        <f t="shared" si="28"/>
        <v>1.1147820664315421E-2</v>
      </c>
      <c r="H387" s="1">
        <f t="shared" si="24"/>
        <v>1.8338164992798868E-2</v>
      </c>
      <c r="I387">
        <f t="shared" si="25"/>
        <v>18338.164992798869</v>
      </c>
      <c r="J387">
        <f t="shared" si="26"/>
        <v>41005.383506505212</v>
      </c>
    </row>
    <row r="388" spans="1:10" x14ac:dyDescent="0.45">
      <c r="A388">
        <v>2.8681370167760178E-3</v>
      </c>
      <c r="B388">
        <f t="shared" si="29"/>
        <v>8.2262099470008351E-6</v>
      </c>
      <c r="F388">
        <f t="shared" si="27"/>
        <v>1.2111625723453124E-4</v>
      </c>
      <c r="G388" s="1">
        <f t="shared" si="28"/>
        <v>1.1005283151038471E-2</v>
      </c>
      <c r="H388" s="1">
        <f t="shared" si="24"/>
        <v>1.8103690783458287E-2</v>
      </c>
      <c r="I388">
        <f t="shared" si="25"/>
        <v>18103.690783458285</v>
      </c>
      <c r="J388">
        <f t="shared" si="26"/>
        <v>40481.08323544915</v>
      </c>
    </row>
    <row r="389" spans="1:10" x14ac:dyDescent="0.45">
      <c r="A389">
        <v>6.0526986089826096E-3</v>
      </c>
      <c r="B389">
        <f t="shared" si="29"/>
        <v>3.6635160451180016E-5</v>
      </c>
      <c r="F389">
        <f t="shared" si="27"/>
        <v>1.177065206878329E-4</v>
      </c>
      <c r="G389" s="1">
        <f t="shared" si="28"/>
        <v>1.0849263601177404E-2</v>
      </c>
      <c r="H389" s="1">
        <f t="shared" si="24"/>
        <v>1.7847038623936832E-2</v>
      </c>
      <c r="I389">
        <f t="shared" si="25"/>
        <v>17847.038623936831</v>
      </c>
      <c r="J389">
        <f t="shared" si="26"/>
        <v>39907.191560187064</v>
      </c>
    </row>
    <row r="390" spans="1:10" x14ac:dyDescent="0.45">
      <c r="A390">
        <v>-1.4649685908807442E-4</v>
      </c>
      <c r="B390">
        <f t="shared" si="29"/>
        <v>2.1461329722671132E-8</v>
      </c>
      <c r="F390">
        <f t="shared" si="27"/>
        <v>1.1524115238532043E-4</v>
      </c>
      <c r="G390" s="1">
        <f t="shared" si="28"/>
        <v>1.0735043194385407E-2</v>
      </c>
      <c r="H390" s="1">
        <f t="shared" si="24"/>
        <v>1.7659146054763996E-2</v>
      </c>
      <c r="I390">
        <f t="shared" si="25"/>
        <v>17659.146054763994</v>
      </c>
      <c r="J390">
        <f t="shared" si="26"/>
        <v>39487.051003049521</v>
      </c>
    </row>
    <row r="391" spans="1:10" x14ac:dyDescent="0.45">
      <c r="A391">
        <v>4.2011947698483709E-3</v>
      </c>
      <c r="B391">
        <f t="shared" si="29"/>
        <v>1.7650037494201305E-5</v>
      </c>
      <c r="F391">
        <f t="shared" si="27"/>
        <v>1.1171445361500241E-4</v>
      </c>
      <c r="G391" s="1">
        <f t="shared" si="28"/>
        <v>1.0569505835894241E-2</v>
      </c>
      <c r="H391" s="1">
        <f t="shared" si="24"/>
        <v>1.7386837100046026E-2</v>
      </c>
      <c r="I391">
        <f t="shared" si="25"/>
        <v>17386.837100046025</v>
      </c>
      <c r="J391">
        <f t="shared" si="26"/>
        <v>38878.149669418228</v>
      </c>
    </row>
    <row r="392" spans="1:10" x14ac:dyDescent="0.45">
      <c r="A392">
        <v>1.0374878911534324E-2</v>
      </c>
      <c r="B392">
        <f t="shared" si="29"/>
        <v>1.0763811242899965E-4</v>
      </c>
      <c r="F392">
        <f t="shared" si="27"/>
        <v>1.0887798780051569E-4</v>
      </c>
      <c r="G392" s="1">
        <f t="shared" si="28"/>
        <v>1.0434461548183293E-2</v>
      </c>
      <c r="H392" s="1">
        <f t="shared" si="24"/>
        <v>1.7164689246761518E-2</v>
      </c>
      <c r="I392">
        <f t="shared" si="25"/>
        <v>17164.689246761518</v>
      </c>
      <c r="J392">
        <f t="shared" si="26"/>
        <v>38381.411968418419</v>
      </c>
    </row>
    <row r="393" spans="1:10" x14ac:dyDescent="0.45">
      <c r="A393">
        <v>-2.2585481929127127E-3</v>
      </c>
      <c r="B393">
        <f t="shared" si="29"/>
        <v>5.1010399397092801E-6</v>
      </c>
      <c r="F393">
        <f t="shared" si="27"/>
        <v>1.0880640913588519E-4</v>
      </c>
      <c r="G393" s="1">
        <f t="shared" si="28"/>
        <v>1.0431031067726967E-2</v>
      </c>
      <c r="H393" s="1">
        <f t="shared" si="24"/>
        <v>1.715904610641086E-2</v>
      </c>
      <c r="I393">
        <f t="shared" si="25"/>
        <v>17159.04610641086</v>
      </c>
      <c r="J393">
        <f t="shared" si="26"/>
        <v>38368.793522987777</v>
      </c>
    </row>
    <row r="394" spans="1:10" x14ac:dyDescent="0.45">
      <c r="A394">
        <v>-6.6470192905399017E-3</v>
      </c>
      <c r="B394">
        <f t="shared" si="29"/>
        <v>4.418286544880958E-5</v>
      </c>
      <c r="F394">
        <f t="shared" si="27"/>
        <v>1.0567775972376027E-4</v>
      </c>
      <c r="G394" s="1">
        <f t="shared" si="28"/>
        <v>1.0279968858112377E-2</v>
      </c>
      <c r="H394" s="1">
        <f t="shared" si="24"/>
        <v>1.6910548771594858E-2</v>
      </c>
      <c r="I394">
        <f t="shared" si="25"/>
        <v>16910.548771594858</v>
      </c>
      <c r="J394">
        <f t="shared" si="26"/>
        <v>37813.136590111673</v>
      </c>
    </row>
    <row r="395" spans="1:10" x14ac:dyDescent="0.45">
      <c r="A395">
        <v>2.0163497538305819E-2</v>
      </c>
      <c r="B395">
        <f t="shared" si="29"/>
        <v>4.0656663297726481E-4</v>
      </c>
      <c r="F395">
        <f t="shared" si="27"/>
        <v>1.0383209880830102E-4</v>
      </c>
      <c r="G395" s="1">
        <f t="shared" si="28"/>
        <v>1.0189803668780917E-2</v>
      </c>
      <c r="H395" s="1">
        <f t="shared" si="24"/>
        <v>1.6762227035144607E-2</v>
      </c>
      <c r="I395">
        <f t="shared" si="25"/>
        <v>16762.227035144606</v>
      </c>
      <c r="J395">
        <f t="shared" si="26"/>
        <v>37481.4791048681</v>
      </c>
    </row>
    <row r="396" spans="1:10" x14ac:dyDescent="0.45">
      <c r="A396">
        <v>-1.4405077308765613E-2</v>
      </c>
      <c r="B396">
        <f t="shared" si="29"/>
        <v>2.0750625227151394E-4</v>
      </c>
      <c r="F396">
        <f t="shared" si="27"/>
        <v>1.129137705031531E-4</v>
      </c>
      <c r="G396" s="1">
        <f t="shared" si="28"/>
        <v>1.0626089144325541E-2</v>
      </c>
      <c r="H396" s="1">
        <f t="shared" si="24"/>
        <v>1.7479916642415515E-2</v>
      </c>
      <c r="I396">
        <f t="shared" si="25"/>
        <v>17479.916642415516</v>
      </c>
      <c r="J396">
        <f t="shared" si="26"/>
        <v>39086.28185347098</v>
      </c>
    </row>
    <row r="397" spans="1:10" x14ac:dyDescent="0.45">
      <c r="A397">
        <v>-2.9767193154839333E-3</v>
      </c>
      <c r="B397">
        <f t="shared" si="29"/>
        <v>8.8608578831751359E-6</v>
      </c>
      <c r="F397">
        <f t="shared" si="27"/>
        <v>1.1570903039241398E-4</v>
      </c>
      <c r="G397" s="1">
        <f t="shared" si="28"/>
        <v>1.0756813208028388E-2</v>
      </c>
      <c r="H397" s="1">
        <f t="shared" si="24"/>
        <v>1.7694957727206698E-2</v>
      </c>
      <c r="I397">
        <f t="shared" si="25"/>
        <v>17694.9577272067</v>
      </c>
      <c r="J397">
        <f t="shared" si="26"/>
        <v>39567.128337019363</v>
      </c>
    </row>
    <row r="398" spans="1:10" x14ac:dyDescent="0.45">
      <c r="A398">
        <v>1.4249235391616821E-2</v>
      </c>
      <c r="B398">
        <f t="shared" si="29"/>
        <v>2.0304070924570539E-4</v>
      </c>
      <c r="F398">
        <f t="shared" si="27"/>
        <v>1.1248240199708365E-4</v>
      </c>
      <c r="G398" s="1">
        <f t="shared" si="28"/>
        <v>1.0605772107540481E-2</v>
      </c>
      <c r="H398" s="1">
        <f t="shared" si="24"/>
        <v>1.7446495116904093E-2</v>
      </c>
      <c r="I398">
        <f t="shared" si="25"/>
        <v>17446.495116904094</v>
      </c>
      <c r="J398">
        <f t="shared" si="26"/>
        <v>39011.549050515699</v>
      </c>
    </row>
    <row r="399" spans="1:10" x14ac:dyDescent="0.45">
      <c r="A399">
        <v>3.3855258152470924E-3</v>
      </c>
      <c r="B399">
        <f t="shared" si="29"/>
        <v>1.146178504570449E-5</v>
      </c>
      <c r="F399">
        <f t="shared" si="27"/>
        <v>1.1518576133005271E-4</v>
      </c>
      <c r="G399" s="1">
        <f t="shared" si="28"/>
        <v>1.0732462966628524E-2</v>
      </c>
      <c r="H399" s="1">
        <f t="shared" si="24"/>
        <v>1.765490158010392E-2</v>
      </c>
      <c r="I399">
        <f t="shared" si="25"/>
        <v>17654.90158010392</v>
      </c>
      <c r="J399">
        <f t="shared" si="26"/>
        <v>39477.560069180814</v>
      </c>
    </row>
    <row r="400" spans="1:10" x14ac:dyDescent="0.45">
      <c r="A400">
        <v>1.0317398846382275E-2</v>
      </c>
      <c r="B400">
        <f t="shared" si="29"/>
        <v>1.0644871895533031E-4</v>
      </c>
      <c r="F400">
        <f t="shared" si="27"/>
        <v>1.120562367980397E-4</v>
      </c>
      <c r="G400" s="1">
        <f t="shared" si="28"/>
        <v>1.0585661849787178E-2</v>
      </c>
      <c r="H400" s="1">
        <f t="shared" si="24"/>
        <v>1.7413413742899907E-2</v>
      </c>
      <c r="I400">
        <f t="shared" si="25"/>
        <v>17413.413742899906</v>
      </c>
      <c r="J400">
        <f t="shared" si="26"/>
        <v>38937.576849453239</v>
      </c>
    </row>
    <row r="401" spans="1:10" x14ac:dyDescent="0.45">
      <c r="A401">
        <v>4.2262854549335316E-3</v>
      </c>
      <c r="B401">
        <f t="shared" si="29"/>
        <v>1.7861488746582729E-5</v>
      </c>
      <c r="F401">
        <f t="shared" si="27"/>
        <v>1.1183956884017449E-4</v>
      </c>
      <c r="G401" s="1">
        <f t="shared" si="28"/>
        <v>1.0575422868149269E-2</v>
      </c>
      <c r="H401" s="1">
        <f t="shared" si="24"/>
        <v>1.7396570618105546E-2</v>
      </c>
      <c r="I401">
        <f t="shared" si="25"/>
        <v>17396.570618105547</v>
      </c>
      <c r="J401">
        <f t="shared" si="26"/>
        <v>38899.914477459541</v>
      </c>
    </row>
    <row r="402" spans="1:10" x14ac:dyDescent="0.45">
      <c r="A402">
        <v>9.497603059571702E-3</v>
      </c>
      <c r="B402">
        <f t="shared" si="29"/>
        <v>9.020446387718576E-5</v>
      </c>
      <c r="F402">
        <f t="shared" si="27"/>
        <v>1.089806649906408E-4</v>
      </c>
      <c r="G402" s="1">
        <f t="shared" si="28"/>
        <v>1.0439380488833656E-2</v>
      </c>
      <c r="H402" s="1">
        <f t="shared" si="24"/>
        <v>1.7172780904131362E-2</v>
      </c>
      <c r="I402">
        <f t="shared" si="25"/>
        <v>17172.780904131363</v>
      </c>
      <c r="J402">
        <f t="shared" si="26"/>
        <v>38399.505464348025</v>
      </c>
    </row>
    <row r="403" spans="1:10" x14ac:dyDescent="0.45">
      <c r="A403">
        <v>-4.009343683719635E-2</v>
      </c>
      <c r="B403">
        <f t="shared" si="29"/>
        <v>1.6074836774182533E-3</v>
      </c>
      <c r="F403">
        <f t="shared" si="27"/>
        <v>1.0839156942850856E-4</v>
      </c>
      <c r="G403" s="1">
        <f t="shared" si="28"/>
        <v>1.0411127192984848E-2</v>
      </c>
      <c r="H403" s="1">
        <f t="shared" si="24"/>
        <v>1.7126304232460074E-2</v>
      </c>
      <c r="I403">
        <f t="shared" si="25"/>
        <v>17126.304232460076</v>
      </c>
      <c r="J403">
        <f t="shared" si="26"/>
        <v>38295.580467123094</v>
      </c>
    </row>
    <row r="404" spans="1:10" x14ac:dyDescent="0.45">
      <c r="A404">
        <v>-4.9794834922067821E-6</v>
      </c>
      <c r="B404">
        <f t="shared" si="29"/>
        <v>2.479525584915985E-11</v>
      </c>
      <c r="F404">
        <f t="shared" si="27"/>
        <v>1.5336138587060811E-4</v>
      </c>
      <c r="G404" s="1">
        <f t="shared" si="28"/>
        <v>1.23839164189124E-2</v>
      </c>
      <c r="H404" s="1">
        <f t="shared" si="24"/>
        <v>2.0371542509110899E-2</v>
      </c>
      <c r="I404">
        <f t="shared" si="25"/>
        <v>20371.542509110899</v>
      </c>
      <c r="J404">
        <f t="shared" si="26"/>
        <v>45552.1538568986</v>
      </c>
    </row>
    <row r="405" spans="1:10" x14ac:dyDescent="0.45">
      <c r="A405">
        <v>-1.9886101654265076E-3</v>
      </c>
      <c r="B405">
        <f t="shared" si="29"/>
        <v>3.9545703900376419E-6</v>
      </c>
      <c r="F405">
        <f t="shared" si="27"/>
        <v>1.4876049935473755E-4</v>
      </c>
      <c r="G405" s="1">
        <f t="shared" si="28"/>
        <v>1.2196741341634558E-2</v>
      </c>
      <c r="H405" s="1">
        <f t="shared" si="24"/>
        <v>2.0063639506988848E-2</v>
      </c>
      <c r="I405">
        <f t="shared" si="25"/>
        <v>20063.639506988849</v>
      </c>
      <c r="J405">
        <f t="shared" si="26"/>
        <v>44863.661813677434</v>
      </c>
    </row>
    <row r="406" spans="1:10" x14ac:dyDescent="0.45">
      <c r="A406">
        <v>3.3933247323147953E-4</v>
      </c>
      <c r="B406">
        <f t="shared" si="29"/>
        <v>1.1514652738939277E-7</v>
      </c>
      <c r="F406">
        <f t="shared" si="27"/>
        <v>1.4439079860188687E-4</v>
      </c>
      <c r="G406" s="1">
        <f t="shared" si="28"/>
        <v>1.2016272242334012E-2</v>
      </c>
      <c r="H406" s="1">
        <f t="shared" si="24"/>
        <v>1.9766767838639451E-2</v>
      </c>
      <c r="I406">
        <f t="shared" si="25"/>
        <v>19766.767838639451</v>
      </c>
      <c r="J406">
        <f t="shared" si="26"/>
        <v>44199.83658265441</v>
      </c>
    </row>
    <row r="407" spans="1:10" x14ac:dyDescent="0.45">
      <c r="A407">
        <v>8.8169599621323869E-3</v>
      </c>
      <c r="B407">
        <f t="shared" si="29"/>
        <v>7.7738782973845542E-5</v>
      </c>
      <c r="F407">
        <f t="shared" si="27"/>
        <v>1.400611889795191E-4</v>
      </c>
      <c r="G407" s="1">
        <f t="shared" si="28"/>
        <v>1.1834744990050234E-2</v>
      </c>
      <c r="H407" s="1">
        <f t="shared" si="24"/>
        <v>1.9468155508632633E-2</v>
      </c>
      <c r="I407">
        <f t="shared" si="25"/>
        <v>19468.155508632633</v>
      </c>
      <c r="J407">
        <f t="shared" si="26"/>
        <v>43532.119113839566</v>
      </c>
    </row>
    <row r="408" spans="1:10" x14ac:dyDescent="0.45">
      <c r="A408">
        <v>-6.3465904531767592E-3</v>
      </c>
      <c r="B408">
        <f t="shared" si="29"/>
        <v>4.0279210380354385E-5</v>
      </c>
      <c r="F408">
        <f t="shared" si="27"/>
        <v>1.3817004065927639E-4</v>
      </c>
      <c r="G408" s="1">
        <f t="shared" si="28"/>
        <v>1.1754575307482461E-2</v>
      </c>
      <c r="H408" s="1">
        <f t="shared" si="24"/>
        <v>1.9336276380808648E-2</v>
      </c>
      <c r="I408">
        <f t="shared" si="25"/>
        <v>19336.276380808649</v>
      </c>
      <c r="J408">
        <f t="shared" si="26"/>
        <v>43237.228419211751</v>
      </c>
    </row>
    <row r="409" spans="1:10" x14ac:dyDescent="0.45">
      <c r="A409">
        <v>-9.5024006441235542E-3</v>
      </c>
      <c r="B409">
        <f t="shared" si="29"/>
        <v>9.0295618001439738E-5</v>
      </c>
      <c r="F409">
        <f t="shared" si="27"/>
        <v>1.3523328569404141E-4</v>
      </c>
      <c r="G409" s="1">
        <f t="shared" si="28"/>
        <v>1.1628984723269759E-2</v>
      </c>
      <c r="H409" s="1">
        <f t="shared" si="24"/>
        <v>1.9129679869778753E-2</v>
      </c>
      <c r="I409">
        <f t="shared" si="25"/>
        <v>19129.679869778753</v>
      </c>
      <c r="J409">
        <f t="shared" si="26"/>
        <v>42775.264576634618</v>
      </c>
    </row>
    <row r="410" spans="1:10" x14ac:dyDescent="0.45">
      <c r="A410">
        <v>-6.2346998674911447E-3</v>
      </c>
      <c r="B410">
        <f t="shared" si="29"/>
        <v>3.8871482437694097E-5</v>
      </c>
      <c r="F410">
        <f t="shared" si="27"/>
        <v>1.3386007632373167E-4</v>
      </c>
      <c r="G410" s="1">
        <f t="shared" si="28"/>
        <v>1.1569791541930722E-2</v>
      </c>
      <c r="H410" s="1">
        <f t="shared" ref="H410:H473" si="30">G410*$H$1</f>
        <v>1.9032307086476036E-2</v>
      </c>
      <c r="I410">
        <f t="shared" ref="I410:I473" si="31">H410*$K$1</f>
        <v>19032.307086476038</v>
      </c>
      <c r="J410">
        <f t="shared" ref="J410:J473" si="32">I410*SQRT($K$2)</f>
        <v>42557.532414011388</v>
      </c>
    </row>
    <row r="411" spans="1:10" x14ac:dyDescent="0.45">
      <c r="A411">
        <v>-8.873530532582663E-3</v>
      </c>
      <c r="B411">
        <f t="shared" si="29"/>
        <v>7.8739544112676755E-5</v>
      </c>
      <c r="F411">
        <f t="shared" ref="F411:F474" si="33">(1-$E$1)*SUMPRODUCT($E$2:$E$152,B260:B410)</f>
        <v>1.3101028908490167E-4</v>
      </c>
      <c r="G411" s="1">
        <f t="shared" ref="G411:G474" si="34">SQRT(F411)</f>
        <v>1.1445972614194989E-2</v>
      </c>
      <c r="H411" s="1">
        <f t="shared" si="30"/>
        <v>1.8828624950350755E-2</v>
      </c>
      <c r="I411">
        <f t="shared" si="31"/>
        <v>18828.624950350753</v>
      </c>
      <c r="J411">
        <f t="shared" si="32"/>
        <v>42102.085311832889</v>
      </c>
    </row>
    <row r="412" spans="1:10" x14ac:dyDescent="0.45">
      <c r="A412">
        <v>-5.2440896070038434E-3</v>
      </c>
      <c r="B412">
        <f t="shared" si="29"/>
        <v>2.7500475806285726E-5</v>
      </c>
      <c r="F412">
        <f t="shared" si="33"/>
        <v>1.2944089633337542E-4</v>
      </c>
      <c r="G412" s="1">
        <f t="shared" si="34"/>
        <v>1.1377209514348209E-2</v>
      </c>
      <c r="H412" s="1">
        <f t="shared" si="30"/>
        <v>1.8715509651102805E-2</v>
      </c>
      <c r="I412">
        <f t="shared" si="31"/>
        <v>18715.509651102806</v>
      </c>
      <c r="J412">
        <f t="shared" si="32"/>
        <v>41849.151813419245</v>
      </c>
    </row>
    <row r="413" spans="1:10" x14ac:dyDescent="0.45">
      <c r="A413">
        <v>-4.0263671508000698E-3</v>
      </c>
      <c r="B413">
        <f t="shared" si="29"/>
        <v>1.6211632433041871E-5</v>
      </c>
      <c r="F413">
        <f t="shared" si="33"/>
        <v>1.2635279123450395E-4</v>
      </c>
      <c r="G413" s="1">
        <f t="shared" si="34"/>
        <v>1.1240675746346566E-2</v>
      </c>
      <c r="H413" s="1">
        <f t="shared" si="30"/>
        <v>1.8490911602740103E-2</v>
      </c>
      <c r="I413">
        <f t="shared" si="31"/>
        <v>18490.911602740103</v>
      </c>
      <c r="J413">
        <f t="shared" si="32"/>
        <v>41346.935309666456</v>
      </c>
    </row>
    <row r="414" spans="1:10" x14ac:dyDescent="0.45">
      <c r="A414">
        <v>1.1788870324380696E-3</v>
      </c>
      <c r="B414">
        <f t="shared" si="29"/>
        <v>1.3897746352506381E-6</v>
      </c>
      <c r="F414">
        <f t="shared" si="33"/>
        <v>1.2300963051728266E-4</v>
      </c>
      <c r="G414" s="1">
        <f t="shared" si="34"/>
        <v>1.1090970675161063E-2</v>
      </c>
      <c r="H414" s="1">
        <f t="shared" si="30"/>
        <v>1.824464676063995E-2</v>
      </c>
      <c r="I414">
        <f t="shared" si="31"/>
        <v>18244.646760639949</v>
      </c>
      <c r="J414">
        <f t="shared" si="32"/>
        <v>40796.270382262264</v>
      </c>
    </row>
    <row r="415" spans="1:10" x14ac:dyDescent="0.45">
      <c r="A415">
        <v>-3.4272670745849609E-2</v>
      </c>
      <c r="B415">
        <f t="shared" si="29"/>
        <v>1.1746159600534156E-3</v>
      </c>
      <c r="F415">
        <f t="shared" si="33"/>
        <v>1.1936040670797894E-4</v>
      </c>
      <c r="G415" s="1">
        <f t="shared" si="34"/>
        <v>1.0925218840278621E-2</v>
      </c>
      <c r="H415" s="1">
        <f t="shared" si="30"/>
        <v>1.7971984992258331E-2</v>
      </c>
      <c r="I415">
        <f t="shared" si="31"/>
        <v>17971.984992258331</v>
      </c>
      <c r="J415">
        <f t="shared" si="32"/>
        <v>40186.580133295662</v>
      </c>
    </row>
    <row r="416" spans="1:10" x14ac:dyDescent="0.45">
      <c r="A416">
        <v>6.8226427174522541E-3</v>
      </c>
      <c r="B416">
        <f t="shared" si="29"/>
        <v>4.6548453650004276E-5</v>
      </c>
      <c r="F416">
        <f t="shared" si="33"/>
        <v>1.5092750525351337E-4</v>
      </c>
      <c r="G416" s="1">
        <f t="shared" si="34"/>
        <v>1.228525560391453E-2</v>
      </c>
      <c r="H416" s="1">
        <f t="shared" si="30"/>
        <v>2.0209245468439403E-2</v>
      </c>
      <c r="I416">
        <f t="shared" si="31"/>
        <v>20209.245468439403</v>
      </c>
      <c r="J416">
        <f t="shared" si="32"/>
        <v>45189.246641410085</v>
      </c>
    </row>
    <row r="417" spans="1:10" x14ac:dyDescent="0.45">
      <c r="A417">
        <v>6.8139570430503227E-3</v>
      </c>
      <c r="B417">
        <f t="shared" si="29"/>
        <v>4.6430010584535094E-5</v>
      </c>
      <c r="F417">
        <f t="shared" si="33"/>
        <v>1.4777097774669055E-4</v>
      </c>
      <c r="G417" s="1">
        <f t="shared" si="34"/>
        <v>1.215610865971058E-2</v>
      </c>
      <c r="H417" s="1">
        <f t="shared" si="30"/>
        <v>1.9996798745223903E-2</v>
      </c>
      <c r="I417">
        <f t="shared" si="31"/>
        <v>19996.798745223903</v>
      </c>
      <c r="J417">
        <f t="shared" si="32"/>
        <v>44714.201326703151</v>
      </c>
    </row>
    <row r="418" spans="1:10" x14ac:dyDescent="0.45">
      <c r="A418">
        <v>5.3832877711101901E-3</v>
      </c>
      <c r="B418">
        <f t="shared" si="29"/>
        <v>2.897978722658452E-5</v>
      </c>
      <c r="F418">
        <f t="shared" si="33"/>
        <v>1.4472610894886753E-4</v>
      </c>
      <c r="G418" s="1">
        <f t="shared" si="34"/>
        <v>1.2030216496342347E-2</v>
      </c>
      <c r="H418" s="1">
        <f t="shared" si="30"/>
        <v>1.9789706136483162E-2</v>
      </c>
      <c r="I418">
        <f t="shared" si="31"/>
        <v>19789.706136483161</v>
      </c>
      <c r="J418">
        <f t="shared" si="32"/>
        <v>44251.128175921083</v>
      </c>
    </row>
    <row r="419" spans="1:10" x14ac:dyDescent="0.45">
      <c r="A419">
        <v>-4.3731233745347708E-3</v>
      </c>
      <c r="B419">
        <f t="shared" si="29"/>
        <v>1.9124208048902381E-5</v>
      </c>
      <c r="F419">
        <f t="shared" si="33"/>
        <v>1.4125248251267944E-4</v>
      </c>
      <c r="G419" s="1">
        <f t="shared" si="34"/>
        <v>1.1884968763639198E-2</v>
      </c>
      <c r="H419" s="1">
        <f t="shared" si="30"/>
        <v>1.9550773616186481E-2</v>
      </c>
      <c r="I419">
        <f t="shared" si="31"/>
        <v>19550.773616186481</v>
      </c>
      <c r="J419">
        <f t="shared" si="32"/>
        <v>43716.858818502355</v>
      </c>
    </row>
    <row r="420" spans="1:10" x14ac:dyDescent="0.45">
      <c r="A420">
        <v>-4.3809222916024737E-4</v>
      </c>
      <c r="B420">
        <f t="shared" si="29"/>
        <v>1.9192480125059468E-7</v>
      </c>
      <c r="F420">
        <f t="shared" si="33"/>
        <v>1.3757316626034947E-4</v>
      </c>
      <c r="G420" s="1">
        <f t="shared" si="34"/>
        <v>1.1729158804464601E-2</v>
      </c>
      <c r="H420" s="1">
        <f t="shared" si="30"/>
        <v>1.9294466233344267E-2</v>
      </c>
      <c r="I420">
        <f t="shared" si="31"/>
        <v>19294.466233344268</v>
      </c>
      <c r="J420">
        <f t="shared" si="32"/>
        <v>43143.738087332109</v>
      </c>
    </row>
    <row r="421" spans="1:10" x14ac:dyDescent="0.45">
      <c r="A421">
        <v>2.4161272449418902E-2</v>
      </c>
      <c r="B421">
        <f t="shared" si="29"/>
        <v>5.8376708637504883E-4</v>
      </c>
      <c r="F421">
        <f t="shared" si="33"/>
        <v>1.3344181338165141E-4</v>
      </c>
      <c r="G421" s="1">
        <f t="shared" si="34"/>
        <v>1.1551701752627246E-2</v>
      </c>
      <c r="H421" s="1">
        <f t="shared" si="30"/>
        <v>1.9002549383071821E-2</v>
      </c>
      <c r="I421">
        <f t="shared" si="31"/>
        <v>19002.549383071822</v>
      </c>
      <c r="J421">
        <f t="shared" si="32"/>
        <v>42490.992166345291</v>
      </c>
    </row>
    <row r="422" spans="1:10" x14ac:dyDescent="0.45">
      <c r="A422">
        <v>1.3256908459879924E-2</v>
      </c>
      <c r="B422">
        <f t="shared" si="29"/>
        <v>1.757456219136359E-4</v>
      </c>
      <c r="F422">
        <f t="shared" si="33"/>
        <v>1.4695017011164249E-4</v>
      </c>
      <c r="G422" s="1">
        <f t="shared" si="34"/>
        <v>1.2122300528845277E-2</v>
      </c>
      <c r="H422" s="1">
        <f t="shared" si="30"/>
        <v>1.9941184369950481E-2</v>
      </c>
      <c r="I422">
        <f t="shared" si="31"/>
        <v>19941.184369950479</v>
      </c>
      <c r="J422">
        <f t="shared" si="32"/>
        <v>44589.843803065589</v>
      </c>
    </row>
    <row r="423" spans="1:10" x14ac:dyDescent="0.45">
      <c r="A423">
        <v>-4.7748699216754176E-3</v>
      </c>
      <c r="B423">
        <f t="shared" si="29"/>
        <v>2.2799382768920607E-5</v>
      </c>
      <c r="F423">
        <f t="shared" si="33"/>
        <v>1.4781143681149423E-4</v>
      </c>
      <c r="G423" s="1">
        <f t="shared" si="34"/>
        <v>1.2157772691224911E-2</v>
      </c>
      <c r="H423" s="1">
        <f t="shared" si="30"/>
        <v>1.9999536077064978E-2</v>
      </c>
      <c r="I423">
        <f t="shared" si="31"/>
        <v>19999.536077064979</v>
      </c>
      <c r="J423">
        <f t="shared" si="32"/>
        <v>44720.322186776764</v>
      </c>
    </row>
    <row r="424" spans="1:10" x14ac:dyDescent="0.45">
      <c r="A424">
        <v>4.1494558900012635E-3</v>
      </c>
      <c r="B424">
        <f t="shared" si="29"/>
        <v>1.7217984183066178E-5</v>
      </c>
      <c r="F424">
        <f t="shared" si="33"/>
        <v>1.4405151701163231E-4</v>
      </c>
      <c r="G424" s="1">
        <f t="shared" si="34"/>
        <v>1.2002146350200547E-2</v>
      </c>
      <c r="H424" s="1">
        <f t="shared" si="30"/>
        <v>1.9743530746079901E-2</v>
      </c>
      <c r="I424">
        <f t="shared" si="31"/>
        <v>19743.530746079901</v>
      </c>
      <c r="J424">
        <f t="shared" si="32"/>
        <v>44147.876864091799</v>
      </c>
    </row>
    <row r="425" spans="1:10" x14ac:dyDescent="0.45">
      <c r="A425">
        <v>-5.1399183575995266E-3</v>
      </c>
      <c r="B425">
        <f t="shared" si="29"/>
        <v>2.6418760722788615E-5</v>
      </c>
      <c r="F425">
        <f t="shared" si="33"/>
        <v>1.4018043042968444E-4</v>
      </c>
      <c r="G425" s="1">
        <f t="shared" si="34"/>
        <v>1.1839781688430088E-2</v>
      </c>
      <c r="H425" s="1">
        <f t="shared" si="30"/>
        <v>1.9476440877467496E-2</v>
      </c>
      <c r="I425">
        <f t="shared" si="31"/>
        <v>19476.440877467496</v>
      </c>
      <c r="J425">
        <f t="shared" si="32"/>
        <v>43550.645761772976</v>
      </c>
    </row>
    <row r="426" spans="1:10" x14ac:dyDescent="0.45">
      <c r="A426">
        <v>4.6015429688850418E-3</v>
      </c>
      <c r="B426">
        <f t="shared" si="29"/>
        <v>2.1174197694495364E-5</v>
      </c>
      <c r="F426">
        <f t="shared" si="33"/>
        <v>1.3675954589880421E-4</v>
      </c>
      <c r="G426" s="1">
        <f t="shared" si="34"/>
        <v>1.1694423709563639E-2</v>
      </c>
      <c r="H426" s="1">
        <f t="shared" si="30"/>
        <v>1.9237327002232189E-2</v>
      </c>
      <c r="I426">
        <f t="shared" si="31"/>
        <v>19237.327002232189</v>
      </c>
      <c r="J426">
        <f t="shared" si="32"/>
        <v>43015.970882383423</v>
      </c>
    </row>
    <row r="427" spans="1:10" x14ac:dyDescent="0.45">
      <c r="A427">
        <v>-9.85680799203692E-3</v>
      </c>
      <c r="B427">
        <f t="shared" si="29"/>
        <v>9.71566637918829E-5</v>
      </c>
      <c r="F427">
        <f t="shared" si="33"/>
        <v>1.3329132804162989E-4</v>
      </c>
      <c r="G427" s="1">
        <f t="shared" si="34"/>
        <v>1.1545186358029475E-2</v>
      </c>
      <c r="H427" s="1">
        <f t="shared" si="30"/>
        <v>1.8991831558958488E-2</v>
      </c>
      <c r="I427">
        <f t="shared" si="31"/>
        <v>18991.831558958489</v>
      </c>
      <c r="J427">
        <f t="shared" si="32"/>
        <v>42467.026383056989</v>
      </c>
    </row>
    <row r="428" spans="1:10" x14ac:dyDescent="0.45">
      <c r="A428">
        <v>1.0644657777447719E-2</v>
      </c>
      <c r="B428">
        <f t="shared" si="29"/>
        <v>1.1330873919897821E-4</v>
      </c>
      <c r="F428">
        <f t="shared" si="33"/>
        <v>1.3219036077897209E-4</v>
      </c>
      <c r="G428" s="1">
        <f t="shared" si="34"/>
        <v>1.1497406697989425E-2</v>
      </c>
      <c r="H428" s="1">
        <f t="shared" si="30"/>
        <v>1.8913234018192605E-2</v>
      </c>
      <c r="I428">
        <f t="shared" si="31"/>
        <v>18913.234018192605</v>
      </c>
      <c r="J428">
        <f t="shared" si="32"/>
        <v>42291.276939040159</v>
      </c>
    </row>
    <row r="429" spans="1:10" x14ac:dyDescent="0.45">
      <c r="A429">
        <v>1.4613306120736524E-2</v>
      </c>
      <c r="B429">
        <f t="shared" si="29"/>
        <v>2.1354871577835557E-4</v>
      </c>
      <c r="F429">
        <f t="shared" si="33"/>
        <v>1.3160988578723808E-4</v>
      </c>
      <c r="G429" s="1">
        <f t="shared" si="34"/>
        <v>1.1472135188675127E-2</v>
      </c>
      <c r="H429" s="1">
        <f t="shared" si="30"/>
        <v>1.8871662385370584E-2</v>
      </c>
      <c r="I429">
        <f t="shared" si="31"/>
        <v>18871.662385370582</v>
      </c>
      <c r="J429">
        <f t="shared" si="32"/>
        <v>42198.31994211446</v>
      </c>
    </row>
    <row r="430" spans="1:10" x14ac:dyDescent="0.45">
      <c r="A430">
        <v>1.6137983038788661E-2</v>
      </c>
      <c r="B430">
        <f t="shared" si="29"/>
        <v>2.6043449656023052E-4</v>
      </c>
      <c r="F430">
        <f t="shared" si="33"/>
        <v>1.3404957341401835E-4</v>
      </c>
      <c r="G430" s="1">
        <f t="shared" si="34"/>
        <v>1.1577977950143901E-2</v>
      </c>
      <c r="H430" s="1">
        <f t="shared" si="30"/>
        <v>1.9045773727986718E-2</v>
      </c>
      <c r="I430">
        <f t="shared" si="31"/>
        <v>19045.773727986718</v>
      </c>
      <c r="J430">
        <f t="shared" si="32"/>
        <v>42587.644739857889</v>
      </c>
    </row>
    <row r="431" spans="1:10" x14ac:dyDescent="0.45">
      <c r="A431">
        <v>2.5309418560937047E-3</v>
      </c>
      <c r="B431">
        <f t="shared" si="29"/>
        <v>6.405666678927047E-6</v>
      </c>
      <c r="F431">
        <f t="shared" si="33"/>
        <v>1.378334302917342E-4</v>
      </c>
      <c r="G431" s="1">
        <f t="shared" si="34"/>
        <v>1.174024830622139E-2</v>
      </c>
      <c r="H431" s="1">
        <f t="shared" si="30"/>
        <v>1.9312708463734188E-2</v>
      </c>
      <c r="I431">
        <f t="shared" si="31"/>
        <v>19312.708463734187</v>
      </c>
      <c r="J431">
        <f t="shared" si="32"/>
        <v>43184.528954545174</v>
      </c>
    </row>
    <row r="432" spans="1:10" x14ac:dyDescent="0.45">
      <c r="A432">
        <v>7.8428229244309478E-3</v>
      </c>
      <c r="B432">
        <f t="shared" si="29"/>
        <v>6.1509871423979604E-5</v>
      </c>
      <c r="F432">
        <f t="shared" si="33"/>
        <v>1.3387902430626696E-4</v>
      </c>
      <c r="G432" s="1">
        <f t="shared" si="34"/>
        <v>1.1570610368786384E-2</v>
      </c>
      <c r="H432" s="1">
        <f t="shared" si="30"/>
        <v>1.9033654056653602E-2</v>
      </c>
      <c r="I432">
        <f t="shared" si="31"/>
        <v>19033.654056653602</v>
      </c>
      <c r="J432">
        <f t="shared" si="32"/>
        <v>42560.544330892088</v>
      </c>
    </row>
    <row r="433" spans="1:10" x14ac:dyDescent="0.45">
      <c r="A433">
        <v>-2.5285089577664621E-4</v>
      </c>
      <c r="B433">
        <f t="shared" si="29"/>
        <v>6.3933575495052405E-8</v>
      </c>
      <c r="F433">
        <f t="shared" si="33"/>
        <v>1.316745369340093E-4</v>
      </c>
      <c r="G433" s="1">
        <f t="shared" si="34"/>
        <v>1.1474952589619241E-2</v>
      </c>
      <c r="H433" s="1">
        <f t="shared" si="30"/>
        <v>1.8876297009923652E-2</v>
      </c>
      <c r="I433">
        <f t="shared" si="31"/>
        <v>18876.297009923652</v>
      </c>
      <c r="J433">
        <f t="shared" si="32"/>
        <v>42208.68327766531</v>
      </c>
    </row>
    <row r="434" spans="1:10" x14ac:dyDescent="0.45">
      <c r="A434">
        <v>-1.7770253180060536E-2</v>
      </c>
      <c r="B434">
        <f t="shared" si="29"/>
        <v>3.1578189808345158E-4</v>
      </c>
      <c r="F434">
        <f t="shared" si="33"/>
        <v>1.2772264661785326E-4</v>
      </c>
      <c r="G434" s="1">
        <f t="shared" si="34"/>
        <v>1.1301444448293027E-2</v>
      </c>
      <c r="H434" s="1">
        <f t="shared" si="30"/>
        <v>1.8590876117442028E-2</v>
      </c>
      <c r="I434">
        <f t="shared" si="31"/>
        <v>18590.876117442029</v>
      </c>
      <c r="J434">
        <f t="shared" si="32"/>
        <v>41570.462759877744</v>
      </c>
    </row>
    <row r="435" spans="1:10" x14ac:dyDescent="0.45">
      <c r="A435">
        <v>1.9270032680651639E-3</v>
      </c>
      <c r="B435">
        <f t="shared" si="29"/>
        <v>3.7133415951338218E-6</v>
      </c>
      <c r="F435">
        <f t="shared" si="33"/>
        <v>1.3334752877485365E-4</v>
      </c>
      <c r="G435" s="1">
        <f t="shared" si="34"/>
        <v>1.1547620048081493E-2</v>
      </c>
      <c r="H435" s="1">
        <f t="shared" si="30"/>
        <v>1.8995834979094055E-2</v>
      </c>
      <c r="I435">
        <f t="shared" si="31"/>
        <v>18995.834979094056</v>
      </c>
      <c r="J435">
        <f t="shared" si="32"/>
        <v>42475.978302622607</v>
      </c>
    </row>
    <row r="436" spans="1:10" x14ac:dyDescent="0.45">
      <c r="A436">
        <v>-3.4617755773069803E-3</v>
      </c>
      <c r="B436">
        <f t="shared" si="29"/>
        <v>1.1983890147639076E-5</v>
      </c>
      <c r="F436">
        <f t="shared" si="33"/>
        <v>1.29453202553273E-4</v>
      </c>
      <c r="G436" s="1">
        <f t="shared" si="34"/>
        <v>1.1377750329185159E-2</v>
      </c>
      <c r="H436" s="1">
        <f t="shared" si="30"/>
        <v>1.8716399291509585E-2</v>
      </c>
      <c r="I436">
        <f t="shared" si="31"/>
        <v>18716.399291509584</v>
      </c>
      <c r="J436">
        <f t="shared" si="32"/>
        <v>41851.141109844335</v>
      </c>
    </row>
    <row r="437" spans="1:10" x14ac:dyDescent="0.45">
      <c r="A437">
        <v>-1.6177068573597353E-3</v>
      </c>
      <c r="B437">
        <f t="shared" si="29"/>
        <v>2.6169754763487108E-6</v>
      </c>
      <c r="F437">
        <f t="shared" si="33"/>
        <v>1.2592385633811476E-4</v>
      </c>
      <c r="G437" s="1">
        <f t="shared" si="34"/>
        <v>1.1221579939478877E-2</v>
      </c>
      <c r="H437" s="1">
        <f t="shared" si="30"/>
        <v>1.8459499000442754E-2</v>
      </c>
      <c r="I437">
        <f t="shared" si="31"/>
        <v>18459.499000442753</v>
      </c>
      <c r="J437">
        <f t="shared" si="32"/>
        <v>41276.694595579414</v>
      </c>
    </row>
    <row r="438" spans="1:10" x14ac:dyDescent="0.45">
      <c r="A438">
        <v>-7.2468537837266922E-4</v>
      </c>
      <c r="B438">
        <f t="shared" si="29"/>
        <v>5.2516889762713875E-7</v>
      </c>
      <c r="F438">
        <f t="shared" si="33"/>
        <v>1.220335063460706E-4</v>
      </c>
      <c r="G438" s="1">
        <f t="shared" si="34"/>
        <v>1.1046877674079251E-2</v>
      </c>
      <c r="H438" s="1">
        <f t="shared" si="30"/>
        <v>1.8172113773860368E-2</v>
      </c>
      <c r="I438">
        <f t="shared" si="31"/>
        <v>18172.113773860368</v>
      </c>
      <c r="J438">
        <f t="shared" si="32"/>
        <v>40634.081693212029</v>
      </c>
    </row>
    <row r="439" spans="1:10" x14ac:dyDescent="0.45">
      <c r="A439">
        <v>-1.2505552149377763E-3</v>
      </c>
      <c r="B439">
        <f t="shared" si="29"/>
        <v>1.5638883456080679E-6</v>
      </c>
      <c r="F439">
        <f t="shared" si="33"/>
        <v>1.1837233038058762E-4</v>
      </c>
      <c r="G439" s="1">
        <f t="shared" si="34"/>
        <v>1.0879904888398042E-2</v>
      </c>
      <c r="H439" s="1">
        <f t="shared" si="30"/>
        <v>1.789744354141478E-2</v>
      </c>
      <c r="I439">
        <f t="shared" si="31"/>
        <v>17897.443541414781</v>
      </c>
      <c r="J439">
        <f t="shared" si="32"/>
        <v>40019.900382068023</v>
      </c>
    </row>
    <row r="440" spans="1:10" x14ac:dyDescent="0.45">
      <c r="A440">
        <v>-6.3540710470988415E-3</v>
      </c>
      <c r="B440">
        <f t="shared" si="29"/>
        <v>4.0374218871579765E-5</v>
      </c>
      <c r="F440">
        <f t="shared" si="33"/>
        <v>1.1486644220193786E-4</v>
      </c>
      <c r="G440" s="1">
        <f t="shared" si="34"/>
        <v>1.071757632125556E-2</v>
      </c>
      <c r="H440" s="1">
        <f t="shared" si="30"/>
        <v>1.7630413048465396E-2</v>
      </c>
      <c r="I440">
        <f t="shared" si="31"/>
        <v>17630.413048465394</v>
      </c>
      <c r="J440">
        <f t="shared" si="32"/>
        <v>39422.802047767917</v>
      </c>
    </row>
    <row r="441" spans="1:10" x14ac:dyDescent="0.45">
      <c r="A441">
        <v>-1.5529894881183282E-2</v>
      </c>
      <c r="B441">
        <f t="shared" si="29"/>
        <v>2.411776350206027E-4</v>
      </c>
      <c r="F441">
        <f t="shared" si="33"/>
        <v>1.1260069279460887E-4</v>
      </c>
      <c r="G441" s="1">
        <f t="shared" si="34"/>
        <v>1.0611347360001409E-2</v>
      </c>
      <c r="H441" s="1">
        <f t="shared" si="30"/>
        <v>1.7455666407202319E-2</v>
      </c>
      <c r="I441">
        <f t="shared" si="31"/>
        <v>17455.66640720232</v>
      </c>
      <c r="J441">
        <f t="shared" si="32"/>
        <v>39032.056679063913</v>
      </c>
    </row>
    <row r="442" spans="1:10" x14ac:dyDescent="0.45">
      <c r="A442">
        <v>-2.2752828954253346E-2</v>
      </c>
      <c r="B442">
        <f t="shared" si="29"/>
        <v>5.1769122542150939E-4</v>
      </c>
      <c r="F442">
        <f t="shared" si="33"/>
        <v>1.1639426259785242E-4</v>
      </c>
      <c r="G442" s="1">
        <f t="shared" si="34"/>
        <v>1.0788617269968029E-2</v>
      </c>
      <c r="H442" s="1">
        <f t="shared" si="30"/>
        <v>1.7747275409097409E-2</v>
      </c>
      <c r="I442">
        <f t="shared" si="31"/>
        <v>17747.275409097409</v>
      </c>
      <c r="J442">
        <f t="shared" si="32"/>
        <v>39684.114230152198</v>
      </c>
    </row>
    <row r="443" spans="1:10" x14ac:dyDescent="0.45">
      <c r="A443">
        <v>-4.9246864364249632E-4</v>
      </c>
      <c r="B443">
        <f t="shared" si="29"/>
        <v>2.4252536497108003E-7</v>
      </c>
      <c r="F443">
        <f t="shared" si="33"/>
        <v>1.2843221882705112E-4</v>
      </c>
      <c r="G443" s="1">
        <f t="shared" si="34"/>
        <v>1.1332793955024997E-2</v>
      </c>
      <c r="H443" s="1">
        <f t="shared" si="30"/>
        <v>1.8642446056016122E-2</v>
      </c>
      <c r="I443">
        <f t="shared" si="31"/>
        <v>18642.446056016121</v>
      </c>
      <c r="J443">
        <f t="shared" si="32"/>
        <v>41685.776648124898</v>
      </c>
    </row>
    <row r="444" spans="1:10" x14ac:dyDescent="0.45">
      <c r="A444">
        <v>1.0287976692779921E-3</v>
      </c>
      <c r="B444">
        <f t="shared" si="29"/>
        <v>1.0584246443118288E-6</v>
      </c>
      <c r="F444">
        <f t="shared" si="33"/>
        <v>1.2457085824189217E-4</v>
      </c>
      <c r="G444" s="1">
        <f t="shared" si="34"/>
        <v>1.1161131584292525E-2</v>
      </c>
      <c r="H444" s="1">
        <f t="shared" si="30"/>
        <v>1.8360061456161203E-2</v>
      </c>
      <c r="I444">
        <f t="shared" si="31"/>
        <v>18360.061456161202</v>
      </c>
      <c r="J444">
        <f t="shared" si="32"/>
        <v>41054.345487050225</v>
      </c>
    </row>
    <row r="445" spans="1:10" x14ac:dyDescent="0.45">
      <c r="A445">
        <v>-1.0277108231093735E-2</v>
      </c>
      <c r="B445">
        <f t="shared" si="29"/>
        <v>1.0561895359361459E-4</v>
      </c>
      <c r="F445">
        <f t="shared" si="33"/>
        <v>1.208327330796503E-4</v>
      </c>
      <c r="G445" s="1">
        <f t="shared" si="34"/>
        <v>1.0992394328791627E-2</v>
      </c>
      <c r="H445" s="1">
        <f t="shared" si="30"/>
        <v>1.8082488670862228E-2</v>
      </c>
      <c r="I445">
        <f t="shared" si="31"/>
        <v>18082.488670862229</v>
      </c>
      <c r="J445">
        <f t="shared" si="32"/>
        <v>40433.67387041777</v>
      </c>
    </row>
    <row r="446" spans="1:10" x14ac:dyDescent="0.45">
      <c r="A446">
        <v>1.061773673427524E-2</v>
      </c>
      <c r="B446">
        <f t="shared" si="29"/>
        <v>1.1273633335837785E-4</v>
      </c>
      <c r="F446">
        <f t="shared" si="33"/>
        <v>1.203252272482962E-4</v>
      </c>
      <c r="G446" s="1">
        <f t="shared" si="34"/>
        <v>1.0969285630718903E-2</v>
      </c>
      <c r="H446" s="1">
        <f t="shared" si="30"/>
        <v>1.8044474862532595E-2</v>
      </c>
      <c r="I446">
        <f t="shared" si="31"/>
        <v>18044.474862532596</v>
      </c>
      <c r="J446">
        <f t="shared" si="32"/>
        <v>40348.672410909057</v>
      </c>
    </row>
    <row r="447" spans="1:10" x14ac:dyDescent="0.45">
      <c r="A447">
        <v>1.2098780644009821E-2</v>
      </c>
      <c r="B447">
        <f t="shared" si="29"/>
        <v>1.4638049307186669E-4</v>
      </c>
      <c r="F447">
        <f t="shared" si="33"/>
        <v>1.2009714379089512E-4</v>
      </c>
      <c r="G447" s="1">
        <f t="shared" si="34"/>
        <v>1.0958884240236099E-2</v>
      </c>
      <c r="H447" s="1">
        <f t="shared" si="30"/>
        <v>1.8027364575188384E-2</v>
      </c>
      <c r="I447">
        <f t="shared" si="31"/>
        <v>18027.364575188385</v>
      </c>
      <c r="J447">
        <f t="shared" si="32"/>
        <v>40310.412645292847</v>
      </c>
    </row>
    <row r="448" spans="1:10" x14ac:dyDescent="0.45">
      <c r="A448">
        <v>2.7043142836191691E-3</v>
      </c>
      <c r="B448">
        <f t="shared" si="29"/>
        <v>7.3133157445866604E-6</v>
      </c>
      <c r="F448">
        <f t="shared" si="33"/>
        <v>1.2088564153182374E-4</v>
      </c>
      <c r="G448" s="1">
        <f t="shared" si="34"/>
        <v>1.0994800659030782E-2</v>
      </c>
      <c r="H448" s="1">
        <f t="shared" si="30"/>
        <v>1.8086447084105638E-2</v>
      </c>
      <c r="I448">
        <f t="shared" si="31"/>
        <v>18086.447084105639</v>
      </c>
      <c r="J448">
        <f t="shared" si="32"/>
        <v>40442.525151513066</v>
      </c>
    </row>
    <row r="449" spans="1:10" x14ac:dyDescent="0.45">
      <c r="A449">
        <v>8.0568725024932064E-3</v>
      </c>
      <c r="B449">
        <f t="shared" si="29"/>
        <v>6.4913194521431142E-5</v>
      </c>
      <c r="F449">
        <f t="shared" si="33"/>
        <v>1.1747604840334813E-4</v>
      </c>
      <c r="G449" s="1">
        <f t="shared" si="34"/>
        <v>1.0838636833262203E-2</v>
      </c>
      <c r="H449" s="1">
        <f t="shared" si="30"/>
        <v>1.7829557590716322E-2</v>
      </c>
      <c r="I449">
        <f t="shared" si="31"/>
        <v>17829.557590716322</v>
      </c>
      <c r="J449">
        <f t="shared" si="32"/>
        <v>39868.10278158907</v>
      </c>
    </row>
    <row r="450" spans="1:10" x14ac:dyDescent="0.45">
      <c r="A450">
        <v>-3.3078549677156843E-3</v>
      </c>
      <c r="B450">
        <f t="shared" si="29"/>
        <v>1.0941904487441331E-5</v>
      </c>
      <c r="F450">
        <f t="shared" si="33"/>
        <v>1.1583267177061178E-4</v>
      </c>
      <c r="G450" s="1">
        <f t="shared" si="34"/>
        <v>1.0762558792899194E-2</v>
      </c>
      <c r="H450" s="1">
        <f t="shared" si="30"/>
        <v>1.7704409214319174E-2</v>
      </c>
      <c r="I450">
        <f t="shared" si="31"/>
        <v>17704.409214319174</v>
      </c>
      <c r="J450">
        <f t="shared" si="32"/>
        <v>39588.262504691316</v>
      </c>
    </row>
    <row r="451" spans="1:10" x14ac:dyDescent="0.45">
      <c r="A451">
        <v>-6.2877461459720507E-3</v>
      </c>
      <c r="B451">
        <f t="shared" ref="B451:B514" si="35">A451^2</f>
        <v>3.9535751596186377E-5</v>
      </c>
      <c r="F451">
        <f t="shared" si="33"/>
        <v>1.126636360956589E-4</v>
      </c>
      <c r="G451" s="1">
        <f t="shared" si="34"/>
        <v>1.0614312794319701E-2</v>
      </c>
      <c r="H451" s="1">
        <f t="shared" si="30"/>
        <v>1.7460544546655909E-2</v>
      </c>
      <c r="I451">
        <f t="shared" si="31"/>
        <v>17460.54454665591</v>
      </c>
      <c r="J451">
        <f t="shared" si="32"/>
        <v>39042.964530485864</v>
      </c>
    </row>
    <row r="452" spans="1:10" x14ac:dyDescent="0.45">
      <c r="A452">
        <v>-1.3267981557874009E-2</v>
      </c>
      <c r="B452">
        <f t="shared" si="35"/>
        <v>1.7603933462008483E-4</v>
      </c>
      <c r="F452">
        <f t="shared" si="33"/>
        <v>1.1041946989474388E-4</v>
      </c>
      <c r="G452" s="1">
        <f t="shared" si="34"/>
        <v>1.0508066896187133E-2</v>
      </c>
      <c r="H452" s="1">
        <f t="shared" si="30"/>
        <v>1.7285770044227836E-2</v>
      </c>
      <c r="I452">
        <f t="shared" si="31"/>
        <v>17285.770044227836</v>
      </c>
      <c r="J452">
        <f t="shared" si="32"/>
        <v>38652.15686232299</v>
      </c>
    </row>
    <row r="453" spans="1:10" x14ac:dyDescent="0.45">
      <c r="A453">
        <v>-4.686751253757393E-3</v>
      </c>
      <c r="B453">
        <f t="shared" si="35"/>
        <v>2.1965637314596497E-5</v>
      </c>
      <c r="F453">
        <f t="shared" si="33"/>
        <v>1.1238043047886523E-4</v>
      </c>
      <c r="G453" s="1">
        <f t="shared" si="34"/>
        <v>1.0600963658029643E-2</v>
      </c>
      <c r="H453" s="1">
        <f t="shared" si="30"/>
        <v>1.7438585217458762E-2</v>
      </c>
      <c r="I453">
        <f t="shared" si="31"/>
        <v>17438.585217458764</v>
      </c>
      <c r="J453">
        <f t="shared" si="32"/>
        <v>38993.861977660752</v>
      </c>
    </row>
    <row r="454" spans="1:10" x14ac:dyDescent="0.45">
      <c r="A454">
        <v>-5.7495071814628318E-3</v>
      </c>
      <c r="B454">
        <f t="shared" si="35"/>
        <v>3.3056832829692678E-5</v>
      </c>
      <c r="F454">
        <f t="shared" si="33"/>
        <v>1.0958645282405617E-4</v>
      </c>
      <c r="G454" s="1">
        <f t="shared" si="34"/>
        <v>1.0468354828914435E-2</v>
      </c>
      <c r="H454" s="1">
        <f t="shared" si="30"/>
        <v>1.7220443693564246E-2</v>
      </c>
      <c r="I454">
        <f t="shared" si="31"/>
        <v>17220.443693564248</v>
      </c>
      <c r="J454">
        <f t="shared" si="32"/>
        <v>38506.082701517218</v>
      </c>
    </row>
    <row r="455" spans="1:10" x14ac:dyDescent="0.45">
      <c r="A455">
        <v>3.4147092264902312E-3</v>
      </c>
      <c r="B455">
        <f t="shared" si="35"/>
        <v>1.1660239101477514E-5</v>
      </c>
      <c r="F455">
        <f t="shared" si="33"/>
        <v>1.0724239490371144E-4</v>
      </c>
      <c r="G455" s="1">
        <f t="shared" si="34"/>
        <v>1.0355790404585806E-2</v>
      </c>
      <c r="H455" s="1">
        <f t="shared" si="30"/>
        <v>1.7035275215543651E-2</v>
      </c>
      <c r="I455">
        <f t="shared" si="31"/>
        <v>17035.27521554365</v>
      </c>
      <c r="J455">
        <f t="shared" si="32"/>
        <v>38092.033397372987</v>
      </c>
    </row>
    <row r="456" spans="1:10" x14ac:dyDescent="0.45">
      <c r="A456">
        <v>9.7381416708230972E-3</v>
      </c>
      <c r="B456">
        <f t="shared" si="35"/>
        <v>9.4831403201021264E-5</v>
      </c>
      <c r="F456">
        <f t="shared" si="33"/>
        <v>1.0431395130412668E-4</v>
      </c>
      <c r="G456" s="1">
        <f t="shared" si="34"/>
        <v>1.0213420157034895E-2</v>
      </c>
      <c r="H456" s="1">
        <f t="shared" si="30"/>
        <v>1.6801076158322402E-2</v>
      </c>
      <c r="I456">
        <f t="shared" si="31"/>
        <v>16801.076158322401</v>
      </c>
      <c r="J456">
        <f t="shared" si="32"/>
        <v>37568.348385159909</v>
      </c>
    </row>
    <row r="457" spans="1:10" x14ac:dyDescent="0.45">
      <c r="A457">
        <v>-1.684084054431878E-2</v>
      </c>
      <c r="B457">
        <f t="shared" si="35"/>
        <v>2.8361391023917125E-4</v>
      </c>
      <c r="F457">
        <f t="shared" si="33"/>
        <v>1.0402868442311768E-4</v>
      </c>
      <c r="G457" s="1">
        <f t="shared" si="34"/>
        <v>1.0199445299775753E-2</v>
      </c>
      <c r="H457" s="1">
        <f t="shared" si="30"/>
        <v>1.6778087518131111E-2</v>
      </c>
      <c r="I457">
        <f t="shared" si="31"/>
        <v>16778.087518131113</v>
      </c>
      <c r="J457">
        <f t="shared" si="32"/>
        <v>37516.944222981903</v>
      </c>
    </row>
    <row r="458" spans="1:10" x14ac:dyDescent="0.45">
      <c r="A458">
        <v>6.2663275457452983E-3</v>
      </c>
      <c r="B458">
        <f t="shared" si="35"/>
        <v>3.9266860910566292E-5</v>
      </c>
      <c r="F458">
        <f t="shared" si="33"/>
        <v>1.0930857369277601E-4</v>
      </c>
      <c r="G458" s="1">
        <f t="shared" si="34"/>
        <v>1.0455074064432831E-2</v>
      </c>
      <c r="H458" s="1">
        <f t="shared" si="30"/>
        <v>1.7198596835992005E-2</v>
      </c>
      <c r="I458">
        <f t="shared" si="31"/>
        <v>17198.596835992004</v>
      </c>
      <c r="J458">
        <f t="shared" si="32"/>
        <v>38457.231642890925</v>
      </c>
    </row>
    <row r="459" spans="1:10" x14ac:dyDescent="0.45">
      <c r="A459">
        <v>1.2927102943649516E-2</v>
      </c>
      <c r="B459">
        <f t="shared" si="35"/>
        <v>1.6710999051571196E-4</v>
      </c>
      <c r="F459">
        <f t="shared" si="33"/>
        <v>1.0716011229288828E-4</v>
      </c>
      <c r="G459" s="1">
        <f t="shared" si="34"/>
        <v>1.0351816859512551E-2</v>
      </c>
      <c r="H459" s="1">
        <f t="shared" si="30"/>
        <v>1.7028738733898145E-2</v>
      </c>
      <c r="I459">
        <f t="shared" si="31"/>
        <v>17028.738733898146</v>
      </c>
      <c r="J459">
        <f t="shared" si="32"/>
        <v>38077.417380079962</v>
      </c>
    </row>
    <row r="460" spans="1:10" x14ac:dyDescent="0.45">
      <c r="A460">
        <v>2.67497171080322E-3</v>
      </c>
      <c r="B460">
        <f t="shared" si="35"/>
        <v>7.1554736535975059E-6</v>
      </c>
      <c r="F460">
        <f t="shared" si="33"/>
        <v>1.0894852363931239E-4</v>
      </c>
      <c r="G460" s="1">
        <f t="shared" si="34"/>
        <v>1.0437840947212809E-2</v>
      </c>
      <c r="H460" s="1">
        <f t="shared" si="30"/>
        <v>1.717024835816507E-2</v>
      </c>
      <c r="I460">
        <f t="shared" si="31"/>
        <v>17170.24835816507</v>
      </c>
      <c r="J460">
        <f t="shared" si="32"/>
        <v>38393.842519411257</v>
      </c>
    </row>
    <row r="461" spans="1:10" x14ac:dyDescent="0.45">
      <c r="A461">
        <v>4.2991587179130875E-3</v>
      </c>
      <c r="B461">
        <f t="shared" si="35"/>
        <v>1.8482765681808101E-5</v>
      </c>
      <c r="F461">
        <f t="shared" si="33"/>
        <v>1.0585021106398217E-4</v>
      </c>
      <c r="G461" s="1">
        <f t="shared" si="34"/>
        <v>1.0288353175507836E-2</v>
      </c>
      <c r="H461" s="1">
        <f t="shared" si="30"/>
        <v>1.692434097371039E-2</v>
      </c>
      <c r="I461">
        <f t="shared" si="31"/>
        <v>16924.34097371039</v>
      </c>
      <c r="J461">
        <f t="shared" si="32"/>
        <v>37843.976891601415</v>
      </c>
    </row>
    <row r="462" spans="1:10" x14ac:dyDescent="0.45">
      <c r="A462">
        <v>-1.2617533684533555E-2</v>
      </c>
      <c r="B462">
        <f t="shared" si="35"/>
        <v>1.592021562803389E-4</v>
      </c>
      <c r="F462">
        <f t="shared" si="33"/>
        <v>1.0321699742348077E-4</v>
      </c>
      <c r="G462" s="1">
        <f t="shared" si="34"/>
        <v>1.0159576636035617E-2</v>
      </c>
      <c r="H462" s="1">
        <f t="shared" si="30"/>
        <v>1.671250356627859E-2</v>
      </c>
      <c r="I462">
        <f t="shared" si="31"/>
        <v>16712.503566278589</v>
      </c>
      <c r="J462">
        <f t="shared" si="32"/>
        <v>37370.294048406591</v>
      </c>
    </row>
    <row r="463" spans="1:10" x14ac:dyDescent="0.45">
      <c r="A463">
        <v>-1.8875653040595353E-2</v>
      </c>
      <c r="B463">
        <f t="shared" si="35"/>
        <v>3.5629027770893657E-4</v>
      </c>
      <c r="F463">
        <f t="shared" si="33"/>
        <v>1.0489557689642643E-4</v>
      </c>
      <c r="G463" s="1">
        <f t="shared" si="34"/>
        <v>1.0241854172776843E-2</v>
      </c>
      <c r="H463" s="1">
        <f t="shared" si="30"/>
        <v>1.6847850114217907E-2</v>
      </c>
      <c r="I463">
        <f t="shared" si="31"/>
        <v>16847.850114217908</v>
      </c>
      <c r="J463">
        <f t="shared" si="32"/>
        <v>37672.93813011884</v>
      </c>
    </row>
    <row r="464" spans="1:10" x14ac:dyDescent="0.45">
      <c r="A464">
        <v>6.6622988015296869E-3</v>
      </c>
      <c r="B464">
        <f t="shared" si="35"/>
        <v>4.4386225320863901E-5</v>
      </c>
      <c r="F464">
        <f t="shared" si="33"/>
        <v>1.1243544494423132E-4</v>
      </c>
      <c r="G464" s="1">
        <f t="shared" si="34"/>
        <v>1.060355812660219E-2</v>
      </c>
      <c r="H464" s="1">
        <f t="shared" si="30"/>
        <v>1.74428531182606E-2</v>
      </c>
      <c r="I464">
        <f t="shared" si="31"/>
        <v>17442.853118260602</v>
      </c>
      <c r="J464">
        <f t="shared" si="32"/>
        <v>39003.405293974887</v>
      </c>
    </row>
    <row r="465" spans="1:10" x14ac:dyDescent="0.45">
      <c r="A465">
        <v>2.0673905964940786E-2</v>
      </c>
      <c r="B465">
        <f t="shared" si="35"/>
        <v>4.2741038784721423E-4</v>
      </c>
      <c r="F465">
        <f t="shared" si="33"/>
        <v>1.1039105478282711E-4</v>
      </c>
      <c r="G465" s="1">
        <f t="shared" si="34"/>
        <v>1.0506714747380701E-2</v>
      </c>
      <c r="H465" s="1">
        <f t="shared" si="30"/>
        <v>1.7283545759441254E-2</v>
      </c>
      <c r="I465">
        <f t="shared" si="31"/>
        <v>17283.545759441255</v>
      </c>
      <c r="J465">
        <f t="shared" si="32"/>
        <v>38647.183210338873</v>
      </c>
    </row>
    <row r="466" spans="1:10" x14ac:dyDescent="0.45">
      <c r="A466">
        <v>2.7838541427627206E-2</v>
      </c>
      <c r="B466">
        <f t="shared" si="35"/>
        <v>7.7498438881771613E-4</v>
      </c>
      <c r="F466">
        <f t="shared" si="33"/>
        <v>1.1988822184549587E-4</v>
      </c>
      <c r="G466" s="1">
        <f t="shared" si="34"/>
        <v>1.0949348010064155E-2</v>
      </c>
      <c r="H466" s="1">
        <f t="shared" si="30"/>
        <v>1.8011677476555535E-2</v>
      </c>
      <c r="I466">
        <f t="shared" si="31"/>
        <v>18011.677476555535</v>
      </c>
      <c r="J466">
        <f t="shared" si="32"/>
        <v>40275.335226380055</v>
      </c>
    </row>
    <row r="467" spans="1:10" x14ac:dyDescent="0.45">
      <c r="A467">
        <v>4.3588102016656194E-3</v>
      </c>
      <c r="B467">
        <f t="shared" si="35"/>
        <v>1.8999226374144279E-5</v>
      </c>
      <c r="F467">
        <f t="shared" si="33"/>
        <v>1.3950633003991615E-4</v>
      </c>
      <c r="G467" s="1">
        <f t="shared" si="34"/>
        <v>1.1811279779935626E-2</v>
      </c>
      <c r="H467" s="1">
        <f t="shared" si="30"/>
        <v>1.9429555237994105E-2</v>
      </c>
      <c r="I467">
        <f t="shared" si="31"/>
        <v>19429.555237994104</v>
      </c>
      <c r="J467">
        <f t="shared" si="32"/>
        <v>43445.806284741921</v>
      </c>
    </row>
    <row r="468" spans="1:10" x14ac:dyDescent="0.45">
      <c r="A468">
        <v>-3.0728187994100153E-3</v>
      </c>
      <c r="B468">
        <f t="shared" si="35"/>
        <v>9.4422153740076081E-6</v>
      </c>
      <c r="F468">
        <f t="shared" si="33"/>
        <v>1.3585501712103378E-4</v>
      </c>
      <c r="G468" s="1">
        <f t="shared" si="34"/>
        <v>1.1655686042487323E-2</v>
      </c>
      <c r="H468" s="1">
        <f t="shared" si="30"/>
        <v>1.9173603539891646E-2</v>
      </c>
      <c r="I468">
        <f t="shared" si="31"/>
        <v>19173.603539891647</v>
      </c>
      <c r="J468">
        <f t="shared" si="32"/>
        <v>42873.480888828322</v>
      </c>
    </row>
    <row r="469" spans="1:10" x14ac:dyDescent="0.45">
      <c r="A469">
        <v>1.3334670256881509E-2</v>
      </c>
      <c r="B469">
        <f t="shared" si="35"/>
        <v>1.7781343085976036E-4</v>
      </c>
      <c r="F469">
        <f t="shared" si="33"/>
        <v>1.3199179946540271E-4</v>
      </c>
      <c r="G469" s="1">
        <f t="shared" si="34"/>
        <v>1.1488768405072961E-2</v>
      </c>
      <c r="H469" s="1">
        <f t="shared" si="30"/>
        <v>1.889902402634502E-2</v>
      </c>
      <c r="I469">
        <f t="shared" si="31"/>
        <v>18899.024026345021</v>
      </c>
      <c r="J469">
        <f t="shared" si="32"/>
        <v>42259.502431309244</v>
      </c>
    </row>
    <row r="470" spans="1:10" x14ac:dyDescent="0.45">
      <c r="A470">
        <v>-4.4380158215062693E-3</v>
      </c>
      <c r="B470">
        <f t="shared" si="35"/>
        <v>1.9695984431939968E-5</v>
      </c>
      <c r="F470">
        <f t="shared" si="33"/>
        <v>1.33356767971731E-4</v>
      </c>
      <c r="G470" s="1">
        <f t="shared" si="34"/>
        <v>1.1548020088817433E-2</v>
      </c>
      <c r="H470" s="1">
        <f t="shared" si="30"/>
        <v>1.8996493046104679E-2</v>
      </c>
      <c r="I470">
        <f t="shared" si="31"/>
        <v>18996.493046104679</v>
      </c>
      <c r="J470">
        <f t="shared" si="32"/>
        <v>42477.449785192111</v>
      </c>
    </row>
    <row r="471" spans="1:10" x14ac:dyDescent="0.45">
      <c r="A471">
        <v>1.5991076907084789E-3</v>
      </c>
      <c r="B471">
        <f t="shared" si="35"/>
        <v>2.5571454064830042E-6</v>
      </c>
      <c r="F471">
        <f t="shared" si="33"/>
        <v>1.2994683676473395E-4</v>
      </c>
      <c r="G471" s="1">
        <f t="shared" si="34"/>
        <v>1.1399422650500066E-2</v>
      </c>
      <c r="H471" s="1">
        <f t="shared" si="30"/>
        <v>1.8752050260072609E-2</v>
      </c>
      <c r="I471">
        <f t="shared" si="31"/>
        <v>18752.050260072607</v>
      </c>
      <c r="J471">
        <f t="shared" si="32"/>
        <v>41930.859099014961</v>
      </c>
    </row>
    <row r="472" spans="1:10" x14ac:dyDescent="0.45">
      <c r="A472">
        <v>-4.7140929382294416E-3</v>
      </c>
      <c r="B472">
        <f t="shared" si="35"/>
        <v>2.222267223026469E-5</v>
      </c>
      <c r="F472">
        <f t="shared" si="33"/>
        <v>1.2612497174286795E-4</v>
      </c>
      <c r="G472" s="1">
        <f t="shared" si="34"/>
        <v>1.1230537464559208E-2</v>
      </c>
      <c r="H472" s="1">
        <f t="shared" si="30"/>
        <v>1.8474234129199896E-2</v>
      </c>
      <c r="I472">
        <f t="shared" si="31"/>
        <v>18474.234129199896</v>
      </c>
      <c r="J472">
        <f t="shared" si="32"/>
        <v>41309.6433451376</v>
      </c>
    </row>
    <row r="473" spans="1:10" x14ac:dyDescent="0.45">
      <c r="A473">
        <v>-3.9890664993436076E-3</v>
      </c>
      <c r="B473">
        <f t="shared" si="35"/>
        <v>1.5912651536185463E-5</v>
      </c>
      <c r="F473">
        <f t="shared" si="33"/>
        <v>1.2300512003399165E-4</v>
      </c>
      <c r="G473" s="1">
        <f t="shared" si="34"/>
        <v>1.1090767332966265E-2</v>
      </c>
      <c r="H473" s="1">
        <f t="shared" si="30"/>
        <v>1.8244312262729507E-2</v>
      </c>
      <c r="I473">
        <f t="shared" si="31"/>
        <v>18244.312262729505</v>
      </c>
      <c r="J473">
        <f t="shared" si="32"/>
        <v>40795.522422196176</v>
      </c>
    </row>
    <row r="474" spans="1:10" x14ac:dyDescent="0.45">
      <c r="A474">
        <v>1.1574775271583349E-2</v>
      </c>
      <c r="B474">
        <f t="shared" si="35"/>
        <v>1.3397542258765738E-4</v>
      </c>
      <c r="F474">
        <f t="shared" si="33"/>
        <v>1.1977081979966976E-4</v>
      </c>
      <c r="G474" s="1">
        <f t="shared" si="34"/>
        <v>1.0943985553703447E-2</v>
      </c>
      <c r="H474" s="1">
        <f t="shared" ref="H474:H537" si="36">G474*$H$1</f>
        <v>1.800285623584217E-2</v>
      </c>
      <c r="I474">
        <f t="shared" ref="I474:I537" si="37">H474*$K$1</f>
        <v>18002.85623584217</v>
      </c>
      <c r="J474">
        <f t="shared" ref="J474:J537" si="38">I474*SQRT($K$2)</f>
        <v>40255.610332499076</v>
      </c>
    </row>
    <row r="475" spans="1:10" x14ac:dyDescent="0.45">
      <c r="A475">
        <v>-1.6868852981133386E-4</v>
      </c>
      <c r="B475">
        <f t="shared" si="35"/>
        <v>2.8455820089909274E-8</v>
      </c>
      <c r="F475">
        <f t="shared" ref="F475:F538" si="39">(1-$E$1)*SUMPRODUCT($E$2:$E$152,B324:B474)</f>
        <v>1.2014194547131163E-4</v>
      </c>
      <c r="G475" s="1">
        <f t="shared" ref="G475:G538" si="40">SQRT(F475)</f>
        <v>1.0960928130013061E-2</v>
      </c>
      <c r="H475" s="1">
        <f t="shared" si="36"/>
        <v>1.8030726773871485E-2</v>
      </c>
      <c r="I475">
        <f t="shared" si="37"/>
        <v>18030.726773871484</v>
      </c>
      <c r="J475">
        <f t="shared" si="38"/>
        <v>40317.930750102118</v>
      </c>
    </row>
    <row r="476" spans="1:10" x14ac:dyDescent="0.45">
      <c r="A476">
        <v>-3.0063233680266421E-3</v>
      </c>
      <c r="B476">
        <f t="shared" si="35"/>
        <v>9.0379801931430539E-6</v>
      </c>
      <c r="F476">
        <f t="shared" si="39"/>
        <v>1.1646511303133154E-4</v>
      </c>
      <c r="G476" s="1">
        <f t="shared" si="40"/>
        <v>1.0791900343838038E-2</v>
      </c>
      <c r="H476" s="1">
        <f t="shared" si="36"/>
        <v>1.7752676065613572E-2</v>
      </c>
      <c r="I476">
        <f t="shared" si="37"/>
        <v>17752.676065613574</v>
      </c>
      <c r="J476">
        <f t="shared" si="38"/>
        <v>39696.190465245469</v>
      </c>
    </row>
    <row r="477" spans="1:10" x14ac:dyDescent="0.45">
      <c r="A477">
        <v>1.1821930456790142E-2</v>
      </c>
      <c r="B477">
        <f t="shared" si="35"/>
        <v>1.3975803972518237E-4</v>
      </c>
      <c r="F477">
        <f t="shared" si="39"/>
        <v>1.1321074040292981E-4</v>
      </c>
      <c r="G477" s="1">
        <f t="shared" si="40"/>
        <v>1.0640053590228285E-2</v>
      </c>
      <c r="H477" s="1">
        <f t="shared" si="36"/>
        <v>1.7502888155925527E-2</v>
      </c>
      <c r="I477">
        <f t="shared" si="37"/>
        <v>17502.888155925528</v>
      </c>
      <c r="J477">
        <f t="shared" si="38"/>
        <v>39137.647719225424</v>
      </c>
    </row>
    <row r="478" spans="1:10" x14ac:dyDescent="0.45">
      <c r="A478">
        <v>-7.0709575084038079E-3</v>
      </c>
      <c r="B478">
        <f t="shared" si="35"/>
        <v>4.9998440085652183E-5</v>
      </c>
      <c r="F478">
        <f t="shared" si="39"/>
        <v>1.1398036354714507E-4</v>
      </c>
      <c r="G478" s="1">
        <f t="shared" si="40"/>
        <v>1.0676158651272707E-2</v>
      </c>
      <c r="H478" s="1">
        <f t="shared" si="36"/>
        <v>1.7562280981343603E-2</v>
      </c>
      <c r="I478">
        <f t="shared" si="37"/>
        <v>17562.280981343603</v>
      </c>
      <c r="J478">
        <f t="shared" si="38"/>
        <v>39270.454114236018</v>
      </c>
    </row>
    <row r="479" spans="1:10" x14ac:dyDescent="0.45">
      <c r="A479">
        <v>-1.8182072381023318E-2</v>
      </c>
      <c r="B479">
        <f t="shared" si="35"/>
        <v>3.3058775606877093E-4</v>
      </c>
      <c r="F479">
        <f t="shared" si="39"/>
        <v>1.1206086420132939E-4</v>
      </c>
      <c r="G479" s="1">
        <f t="shared" si="40"/>
        <v>1.0585880416919954E-2</v>
      </c>
      <c r="H479" s="1">
        <f t="shared" si="36"/>
        <v>1.7413773285833326E-2</v>
      </c>
      <c r="I479">
        <f t="shared" si="37"/>
        <v>17413.773285833326</v>
      </c>
      <c r="J479">
        <f t="shared" si="38"/>
        <v>38938.380811893192</v>
      </c>
    </row>
    <row r="480" spans="1:10" x14ac:dyDescent="0.45">
      <c r="A480">
        <v>-7.789867595420219E-3</v>
      </c>
      <c r="B480">
        <f t="shared" si="35"/>
        <v>6.0682037154177988E-5</v>
      </c>
      <c r="F480">
        <f t="shared" si="39"/>
        <v>1.1856718272211603E-4</v>
      </c>
      <c r="G480" s="1">
        <f t="shared" si="40"/>
        <v>1.0888855895920197E-2</v>
      </c>
      <c r="H480" s="1">
        <f t="shared" si="36"/>
        <v>1.7912167948788724E-2</v>
      </c>
      <c r="I480">
        <f t="shared" si="37"/>
        <v>17912.167948788723</v>
      </c>
      <c r="J480">
        <f t="shared" si="38"/>
        <v>40052.825157884559</v>
      </c>
    </row>
    <row r="481" spans="1:10" x14ac:dyDescent="0.45">
      <c r="A481">
        <v>1.4941497283871286E-2</v>
      </c>
      <c r="B481">
        <f t="shared" si="35"/>
        <v>2.2324834108393302E-4</v>
      </c>
      <c r="F481">
        <f t="shared" si="39"/>
        <v>1.1682969312523229E-4</v>
      </c>
      <c r="G481" s="1">
        <f t="shared" si="40"/>
        <v>1.0808778521425642E-2</v>
      </c>
      <c r="H481" s="1">
        <f t="shared" si="36"/>
        <v>1.778044066774518E-2</v>
      </c>
      <c r="I481">
        <f t="shared" si="37"/>
        <v>17780.440667745181</v>
      </c>
      <c r="J481">
        <f t="shared" si="38"/>
        <v>39758.274002979975</v>
      </c>
    </row>
    <row r="482" spans="1:10" x14ac:dyDescent="0.45">
      <c r="A482">
        <v>2.2742483452020679E-3</v>
      </c>
      <c r="B482">
        <f t="shared" si="35"/>
        <v>5.1722055356543445E-6</v>
      </c>
      <c r="F482">
        <f t="shared" si="39"/>
        <v>1.2002203780490788E-4</v>
      </c>
      <c r="G482" s="1">
        <f t="shared" si="40"/>
        <v>1.0955456987497504E-2</v>
      </c>
      <c r="H482" s="1">
        <f t="shared" si="36"/>
        <v>1.8021726744433395E-2</v>
      </c>
      <c r="I482">
        <f t="shared" si="37"/>
        <v>18021.726744433396</v>
      </c>
      <c r="J482">
        <f t="shared" si="38"/>
        <v>40297.806072479056</v>
      </c>
    </row>
    <row r="483" spans="1:10" x14ac:dyDescent="0.45">
      <c r="A483">
        <v>1.471189534640871E-2</v>
      </c>
      <c r="B483">
        <f t="shared" si="35"/>
        <v>2.1643986468368226E-4</v>
      </c>
      <c r="F483">
        <f t="shared" si="39"/>
        <v>1.1657501957398858E-4</v>
      </c>
      <c r="G483" s="1">
        <f t="shared" si="40"/>
        <v>1.0796991227836974E-2</v>
      </c>
      <c r="H483" s="1">
        <f t="shared" si="36"/>
        <v>1.7761050569791822E-2</v>
      </c>
      <c r="I483">
        <f t="shared" si="37"/>
        <v>17761.050569791823</v>
      </c>
      <c r="J483">
        <f t="shared" si="38"/>
        <v>39714.916425865893</v>
      </c>
    </row>
    <row r="484" spans="1:10" x14ac:dyDescent="0.45">
      <c r="A484">
        <v>-4.3419959183665924E-3</v>
      </c>
      <c r="B484">
        <f t="shared" si="35"/>
        <v>1.885292855511215E-5</v>
      </c>
      <c r="F484">
        <f t="shared" si="39"/>
        <v>1.1957088594364158E-4</v>
      </c>
      <c r="G484" s="1">
        <f t="shared" si="40"/>
        <v>1.093484732146003E-2</v>
      </c>
      <c r="H484" s="1">
        <f t="shared" si="36"/>
        <v>1.7987823843801751E-2</v>
      </c>
      <c r="I484">
        <f t="shared" si="37"/>
        <v>17987.823843801751</v>
      </c>
      <c r="J484">
        <f t="shared" si="38"/>
        <v>40221.996882032276</v>
      </c>
    </row>
    <row r="485" spans="1:10" x14ac:dyDescent="0.45">
      <c r="A485">
        <v>-5.5235318541235756E-3</v>
      </c>
      <c r="B485">
        <f t="shared" si="35"/>
        <v>3.0509404143517824E-5</v>
      </c>
      <c r="F485">
        <f t="shared" si="39"/>
        <v>1.1654302137445812E-4</v>
      </c>
      <c r="G485" s="1">
        <f t="shared" si="40"/>
        <v>1.079550931519482E-2</v>
      </c>
      <c r="H485" s="1">
        <f t="shared" si="36"/>
        <v>1.775861282349548E-2</v>
      </c>
      <c r="I485">
        <f t="shared" si="37"/>
        <v>17758.612823495481</v>
      </c>
      <c r="J485">
        <f t="shared" si="38"/>
        <v>39709.465459435371</v>
      </c>
    </row>
    <row r="486" spans="1:10" x14ac:dyDescent="0.45">
      <c r="A486">
        <v>-1.132864326791605E-2</v>
      </c>
      <c r="B486">
        <f t="shared" si="35"/>
        <v>1.2833815829169963E-4</v>
      </c>
      <c r="F486">
        <f t="shared" si="39"/>
        <v>1.1392583946749849E-4</v>
      </c>
      <c r="G486" s="1">
        <f t="shared" si="40"/>
        <v>1.0673604801916665E-2</v>
      </c>
      <c r="H486" s="1">
        <f t="shared" si="36"/>
        <v>1.7558079899152913E-2</v>
      </c>
      <c r="I486">
        <f t="shared" si="37"/>
        <v>17558.079899152912</v>
      </c>
      <c r="J486">
        <f t="shared" si="38"/>
        <v>39261.060208878567</v>
      </c>
    </row>
    <row r="487" spans="1:10" x14ac:dyDescent="0.45">
      <c r="A487">
        <v>-4.2053784454765264E-3</v>
      </c>
      <c r="B487">
        <f t="shared" si="35"/>
        <v>1.7685207869678567E-5</v>
      </c>
      <c r="F487">
        <f t="shared" si="39"/>
        <v>1.1435145204993593E-4</v>
      </c>
      <c r="G487" s="1">
        <f t="shared" si="40"/>
        <v>1.0693523836880709E-2</v>
      </c>
      <c r="H487" s="1">
        <f t="shared" si="36"/>
        <v>1.7590846711668766E-2</v>
      </c>
      <c r="I487">
        <f t="shared" si="37"/>
        <v>17590.846711668764</v>
      </c>
      <c r="J487">
        <f t="shared" si="38"/>
        <v>39334.329029070002</v>
      </c>
    </row>
    <row r="488" spans="1:10" x14ac:dyDescent="0.45">
      <c r="A488">
        <v>-1.1673364497255534E-3</v>
      </c>
      <c r="B488">
        <f t="shared" si="35"/>
        <v>1.3626743868578594E-6</v>
      </c>
      <c r="F488">
        <f t="shared" si="39"/>
        <v>1.1144796956626976E-4</v>
      </c>
      <c r="G488" s="1">
        <f t="shared" si="40"/>
        <v>1.055689204104455E-2</v>
      </c>
      <c r="H488" s="1">
        <f t="shared" si="36"/>
        <v>1.7366087407518285E-2</v>
      </c>
      <c r="I488">
        <f t="shared" si="37"/>
        <v>17366.087407518284</v>
      </c>
      <c r="J488">
        <f t="shared" si="38"/>
        <v>38831.751946413977</v>
      </c>
    </row>
    <row r="489" spans="1:10" x14ac:dyDescent="0.45">
      <c r="A489">
        <v>3.6966639527236111E-3</v>
      </c>
      <c r="B489">
        <f t="shared" si="35"/>
        <v>1.3665324379366154E-5</v>
      </c>
      <c r="F489">
        <f t="shared" si="39"/>
        <v>1.080981754602873E-4</v>
      </c>
      <c r="G489" s="1">
        <f t="shared" si="40"/>
        <v>1.0397027241490104E-2</v>
      </c>
      <c r="H489" s="1">
        <f t="shared" si="36"/>
        <v>1.7103109812251219E-2</v>
      </c>
      <c r="I489">
        <f t="shared" si="37"/>
        <v>17103.109812251219</v>
      </c>
      <c r="J489">
        <f t="shared" si="38"/>
        <v>38243.716166837396</v>
      </c>
    </row>
    <row r="490" spans="1:10" x14ac:dyDescent="0.45">
      <c r="A490">
        <v>4.0321765482076444E-3</v>
      </c>
      <c r="B490">
        <f t="shared" si="35"/>
        <v>1.6258447715915715E-5</v>
      </c>
      <c r="F490">
        <f t="shared" si="39"/>
        <v>1.0526137564767697E-4</v>
      </c>
      <c r="G490" s="1">
        <f t="shared" si="40"/>
        <v>1.0259696664506069E-2</v>
      </c>
      <c r="H490" s="1">
        <f t="shared" si="36"/>
        <v>1.6877201013112485E-2</v>
      </c>
      <c r="I490">
        <f t="shared" si="37"/>
        <v>16877.201013112484</v>
      </c>
      <c r="J490">
        <f t="shared" si="38"/>
        <v>37738.568735247834</v>
      </c>
    </row>
    <row r="491" spans="1:10" x14ac:dyDescent="0.45">
      <c r="A491">
        <v>6.8216877480153926E-3</v>
      </c>
      <c r="B491">
        <f t="shared" si="35"/>
        <v>4.6535423731423316E-5</v>
      </c>
      <c r="F491">
        <f t="shared" si="39"/>
        <v>1.0258298385150127E-4</v>
      </c>
      <c r="G491" s="1">
        <f t="shared" si="40"/>
        <v>1.012832581681204E-2</v>
      </c>
      <c r="H491" s="1">
        <f t="shared" si="36"/>
        <v>1.6661095968655806E-2</v>
      </c>
      <c r="I491">
        <f t="shared" si="37"/>
        <v>16661.095968655805</v>
      </c>
      <c r="J491">
        <f t="shared" si="38"/>
        <v>37255.343165562088</v>
      </c>
    </row>
    <row r="492" spans="1:10" x14ac:dyDescent="0.45">
      <c r="A492">
        <v>1.3234830475994386E-2</v>
      </c>
      <c r="B492">
        <f t="shared" si="35"/>
        <v>1.7516073772830978E-4</v>
      </c>
      <c r="F492">
        <f t="shared" si="39"/>
        <v>1.0090155385363596E-4</v>
      </c>
      <c r="G492" s="1">
        <f t="shared" si="40"/>
        <v>1.0044976548187454E-2</v>
      </c>
      <c r="H492" s="1">
        <f t="shared" si="36"/>
        <v>1.6523986421768364E-2</v>
      </c>
      <c r="I492">
        <f t="shared" si="37"/>
        <v>16523.986421768364</v>
      </c>
      <c r="J492">
        <f t="shared" si="38"/>
        <v>36948.756898357577</v>
      </c>
    </row>
    <row r="493" spans="1:10" x14ac:dyDescent="0.45">
      <c r="A493">
        <v>-1.3262433640193194E-2</v>
      </c>
      <c r="B493">
        <f t="shared" si="35"/>
        <v>1.758921460605281E-4</v>
      </c>
      <c r="F493">
        <f t="shared" si="39"/>
        <v>1.0307249132240705E-4</v>
      </c>
      <c r="G493" s="1">
        <f t="shared" si="40"/>
        <v>1.0152462328046683E-2</v>
      </c>
      <c r="H493" s="1">
        <f t="shared" si="36"/>
        <v>1.6700800529636795E-2</v>
      </c>
      <c r="I493">
        <f t="shared" si="37"/>
        <v>16700.800529636796</v>
      </c>
      <c r="J493">
        <f t="shared" si="38"/>
        <v>37344.125262932364</v>
      </c>
    </row>
    <row r="494" spans="1:10" x14ac:dyDescent="0.45">
      <c r="A494">
        <v>-9.9379576568026096E-3</v>
      </c>
      <c r="B494">
        <f t="shared" si="35"/>
        <v>9.8763002388401613E-5</v>
      </c>
      <c r="F494">
        <f t="shared" si="39"/>
        <v>1.0522307091338753E-4</v>
      </c>
      <c r="G494" s="1">
        <f t="shared" si="40"/>
        <v>1.0257829737005168E-2</v>
      </c>
      <c r="H494" s="1">
        <f t="shared" si="36"/>
        <v>1.6874129917373502E-2</v>
      </c>
      <c r="I494">
        <f t="shared" si="37"/>
        <v>16874.129917373502</v>
      </c>
      <c r="J494">
        <f t="shared" si="38"/>
        <v>37731.701556410066</v>
      </c>
    </row>
    <row r="495" spans="1:10" x14ac:dyDescent="0.45">
      <c r="A495">
        <v>1.1311226444377098E-2</v>
      </c>
      <c r="B495">
        <f t="shared" si="35"/>
        <v>1.2794384367597578E-4</v>
      </c>
      <c r="F495">
        <f t="shared" si="39"/>
        <v>1.0501922166205205E-4</v>
      </c>
      <c r="G495" s="1">
        <f t="shared" si="40"/>
        <v>1.0247888644108701E-2</v>
      </c>
      <c r="H495" s="1">
        <f t="shared" si="36"/>
        <v>1.6857776819558811E-2</v>
      </c>
      <c r="I495">
        <f t="shared" si="37"/>
        <v>16857.776819558811</v>
      </c>
      <c r="J495">
        <f t="shared" si="38"/>
        <v>37695.134918053707</v>
      </c>
    </row>
    <row r="496" spans="1:10" x14ac:dyDescent="0.45">
      <c r="A496">
        <v>-1.0717735676735174E-2</v>
      </c>
      <c r="B496">
        <f t="shared" si="35"/>
        <v>1.1486985803636197E-4</v>
      </c>
      <c r="F496">
        <f t="shared" si="39"/>
        <v>1.0570649882257028E-4</v>
      </c>
      <c r="G496" s="1">
        <f t="shared" si="40"/>
        <v>1.0281366583415372E-2</v>
      </c>
      <c r="H496" s="1">
        <f t="shared" si="36"/>
        <v>1.6912848029718288E-2</v>
      </c>
      <c r="I496">
        <f t="shared" si="37"/>
        <v>16912.848029718287</v>
      </c>
      <c r="J496">
        <f t="shared" si="38"/>
        <v>37818.277887573473</v>
      </c>
    </row>
    <row r="497" spans="1:10" x14ac:dyDescent="0.45">
      <c r="A497">
        <v>-9.1142510427744128E-3</v>
      </c>
      <c r="B497">
        <f t="shared" si="35"/>
        <v>8.3069572070714476E-5</v>
      </c>
      <c r="F497">
        <f t="shared" si="39"/>
        <v>1.0598129464317883E-4</v>
      </c>
      <c r="G497" s="1">
        <f t="shared" si="40"/>
        <v>1.0294721688476033E-2</v>
      </c>
      <c r="H497" s="1">
        <f t="shared" si="36"/>
        <v>1.6934817177543075E-2</v>
      </c>
      <c r="I497">
        <f t="shared" si="37"/>
        <v>16934.817177543075</v>
      </c>
      <c r="J497">
        <f t="shared" si="38"/>
        <v>37867.402395517442</v>
      </c>
    </row>
    <row r="498" spans="1:10" x14ac:dyDescent="0.45">
      <c r="A498">
        <v>9.2260734163573943E-3</v>
      </c>
      <c r="B498">
        <f t="shared" si="35"/>
        <v>8.5120430684016606E-5</v>
      </c>
      <c r="F498">
        <f t="shared" si="39"/>
        <v>1.0528597910656355E-4</v>
      </c>
      <c r="G498" s="1">
        <f t="shared" si="40"/>
        <v>1.0260895628870004E-2</v>
      </c>
      <c r="H498" s="1">
        <f t="shared" si="36"/>
        <v>1.6879173309491156E-2</v>
      </c>
      <c r="I498">
        <f t="shared" si="37"/>
        <v>16879.173309491154</v>
      </c>
      <c r="J498">
        <f t="shared" si="38"/>
        <v>37742.978924022318</v>
      </c>
    </row>
    <row r="499" spans="1:10" x14ac:dyDescent="0.45">
      <c r="A499">
        <v>-9.0414687292650342E-3</v>
      </c>
      <c r="B499">
        <f t="shared" si="35"/>
        <v>8.1748156782277472E-5</v>
      </c>
      <c r="F499">
        <f t="shared" si="39"/>
        <v>1.0466857645831855E-4</v>
      </c>
      <c r="G499" s="1">
        <f t="shared" si="40"/>
        <v>1.0230766171617771E-2</v>
      </c>
      <c r="H499" s="1">
        <f t="shared" si="36"/>
        <v>1.6829610352311234E-2</v>
      </c>
      <c r="I499">
        <f t="shared" si="37"/>
        <v>16829.610352311232</v>
      </c>
      <c r="J499">
        <f t="shared" si="38"/>
        <v>37632.152782602105</v>
      </c>
    </row>
    <row r="500" spans="1:10" x14ac:dyDescent="0.45">
      <c r="A500">
        <v>-1.4435363482334651E-2</v>
      </c>
      <c r="B500">
        <f t="shared" si="35"/>
        <v>2.083797188671208E-4</v>
      </c>
      <c r="F500">
        <f t="shared" si="39"/>
        <v>1.0393955127672441E-4</v>
      </c>
      <c r="G500" s="1">
        <f t="shared" si="40"/>
        <v>1.0195074853904919E-2</v>
      </c>
      <c r="H500" s="1">
        <f t="shared" si="36"/>
        <v>1.6770898134673591E-2</v>
      </c>
      <c r="I500">
        <f t="shared" si="37"/>
        <v>16770.898134673593</v>
      </c>
      <c r="J500">
        <f t="shared" si="38"/>
        <v>37500.868272854575</v>
      </c>
    </row>
    <row r="501" spans="1:10" x14ac:dyDescent="0.45">
      <c r="A501">
        <v>-3.0217961466405541E-5</v>
      </c>
      <c r="B501">
        <f t="shared" si="35"/>
        <v>9.131251951851701E-10</v>
      </c>
      <c r="F501">
        <f t="shared" si="39"/>
        <v>1.0694313244286502E-4</v>
      </c>
      <c r="G501" s="1">
        <f t="shared" si="40"/>
        <v>1.0341331270337732E-2</v>
      </c>
      <c r="H501" s="1">
        <f t="shared" si="36"/>
        <v>1.7011489939705568E-2</v>
      </c>
      <c r="I501">
        <f t="shared" si="37"/>
        <v>17011.489939705567</v>
      </c>
      <c r="J501">
        <f t="shared" si="38"/>
        <v>38038.847903735448</v>
      </c>
    </row>
    <row r="502" spans="1:10" x14ac:dyDescent="0.45">
      <c r="A502">
        <v>-3.5667426345753483E-3</v>
      </c>
      <c r="B502">
        <f t="shared" si="35"/>
        <v>1.2721653021297497E-5</v>
      </c>
      <c r="F502">
        <f t="shared" si="39"/>
        <v>1.0372821830300525E-4</v>
      </c>
      <c r="G502" s="1">
        <f t="shared" si="40"/>
        <v>1.0184705116153598E-2</v>
      </c>
      <c r="H502" s="1">
        <f t="shared" si="36"/>
        <v>1.6753839916072669E-2</v>
      </c>
      <c r="I502">
        <f t="shared" si="37"/>
        <v>16753.839916072669</v>
      </c>
      <c r="J502">
        <f t="shared" si="38"/>
        <v>37462.724936487859</v>
      </c>
    </row>
    <row r="503" spans="1:10" x14ac:dyDescent="0.45">
      <c r="A503">
        <v>1.9394747141632251E-3</v>
      </c>
      <c r="B503">
        <f t="shared" si="35"/>
        <v>3.7615621668785238E-6</v>
      </c>
      <c r="F503">
        <f t="shared" si="39"/>
        <v>1.0099713577010995E-4</v>
      </c>
      <c r="G503" s="1">
        <f t="shared" si="40"/>
        <v>1.0049733119347495E-2</v>
      </c>
      <c r="H503" s="1">
        <f t="shared" si="36"/>
        <v>1.6531810981326629E-2</v>
      </c>
      <c r="I503">
        <f t="shared" si="37"/>
        <v>16531.810981326627</v>
      </c>
      <c r="J503">
        <f t="shared" si="38"/>
        <v>36966.253145423849</v>
      </c>
    </row>
    <row r="504" spans="1:10" x14ac:dyDescent="0.45">
      <c r="A504">
        <v>-2.4567611944803502E-3</v>
      </c>
      <c r="B504">
        <f t="shared" si="35"/>
        <v>6.0356755667045173E-6</v>
      </c>
      <c r="F504">
        <f t="shared" si="39"/>
        <v>9.8001590751519465E-5</v>
      </c>
      <c r="G504" s="1">
        <f t="shared" si="40"/>
        <v>9.8995752813703809E-3</v>
      </c>
      <c r="H504" s="1">
        <f t="shared" si="36"/>
        <v>1.6284801337854277E-2</v>
      </c>
      <c r="I504">
        <f t="shared" si="37"/>
        <v>16284.801337854276</v>
      </c>
      <c r="J504">
        <f t="shared" si="38"/>
        <v>36413.922791521683</v>
      </c>
    </row>
    <row r="505" spans="1:10" x14ac:dyDescent="0.45">
      <c r="A505">
        <v>-3.597745035222033E-3</v>
      </c>
      <c r="B505">
        <f t="shared" si="35"/>
        <v>1.2943769338464787E-5</v>
      </c>
      <c r="F505">
        <f t="shared" si="39"/>
        <v>9.5224568610733905E-5</v>
      </c>
      <c r="G505" s="1">
        <f t="shared" si="40"/>
        <v>9.7583076714527657E-3</v>
      </c>
      <c r="H505" s="1">
        <f t="shared" si="36"/>
        <v>1.6052416119539798E-2</v>
      </c>
      <c r="I505">
        <f t="shared" si="37"/>
        <v>16052.416119539797</v>
      </c>
      <c r="J505">
        <f t="shared" si="38"/>
        <v>35894.293646404381</v>
      </c>
    </row>
    <row r="506" spans="1:10" x14ac:dyDescent="0.45">
      <c r="A506">
        <v>-1.2329428500379436E-2</v>
      </c>
      <c r="B506">
        <f t="shared" si="35"/>
        <v>1.520148071459687E-4</v>
      </c>
      <c r="F506">
        <f t="shared" si="39"/>
        <v>9.2750217082062007E-5</v>
      </c>
      <c r="G506" s="1">
        <f t="shared" si="40"/>
        <v>9.6306914124616207E-3</v>
      </c>
      <c r="H506" s="1">
        <f t="shared" si="36"/>
        <v>1.5842487373499366E-2</v>
      </c>
      <c r="I506">
        <f t="shared" si="37"/>
        <v>15842.487373499365</v>
      </c>
      <c r="J506">
        <f t="shared" si="38"/>
        <v>35424.878699826681</v>
      </c>
    </row>
    <row r="507" spans="1:10" x14ac:dyDescent="0.45">
      <c r="A507">
        <v>6.2542312662117183E-3</v>
      </c>
      <c r="B507">
        <f t="shared" si="35"/>
        <v>3.911540873126023E-5</v>
      </c>
      <c r="F507">
        <f t="shared" si="39"/>
        <v>9.4514641673246788E-5</v>
      </c>
      <c r="G507" s="1">
        <f t="shared" si="40"/>
        <v>9.7218641048539035E-3</v>
      </c>
      <c r="H507" s="1">
        <f t="shared" si="36"/>
        <v>1.5992466452484672E-2</v>
      </c>
      <c r="I507">
        <f t="shared" si="37"/>
        <v>15992.466452484672</v>
      </c>
      <c r="J507">
        <f t="shared" si="38"/>
        <v>35760.242115640642</v>
      </c>
    </row>
    <row r="508" spans="1:10" x14ac:dyDescent="0.45">
      <c r="A508">
        <v>1.2181772035546601E-3</v>
      </c>
      <c r="B508">
        <f t="shared" si="35"/>
        <v>1.4839556992602517E-6</v>
      </c>
      <c r="F508">
        <f t="shared" si="39"/>
        <v>9.2812837416720093E-5</v>
      </c>
      <c r="G508" s="1">
        <f t="shared" si="40"/>
        <v>9.6339419458869539E-3</v>
      </c>
      <c r="H508" s="1">
        <f t="shared" si="36"/>
        <v>1.5847834500984041E-2</v>
      </c>
      <c r="I508">
        <f t="shared" si="37"/>
        <v>15847.834500984041</v>
      </c>
      <c r="J508">
        <f t="shared" si="38"/>
        <v>35436.835240366774</v>
      </c>
    </row>
    <row r="509" spans="1:10" x14ac:dyDescent="0.45">
      <c r="A509">
        <v>2.6432644517626613E-3</v>
      </c>
      <c r="B509">
        <f t="shared" si="35"/>
        <v>6.9868469619521626E-6</v>
      </c>
      <c r="F509">
        <f t="shared" si="39"/>
        <v>9.0024121719605793E-5</v>
      </c>
      <c r="G509" s="1">
        <f t="shared" si="40"/>
        <v>9.4881042215821908E-3</v>
      </c>
      <c r="H509" s="1">
        <f t="shared" si="36"/>
        <v>1.5607931444502704E-2</v>
      </c>
      <c r="I509">
        <f t="shared" si="37"/>
        <v>15607.931444502705</v>
      </c>
      <c r="J509">
        <f t="shared" si="38"/>
        <v>34900.395698064538</v>
      </c>
    </row>
    <row r="510" spans="1:10" x14ac:dyDescent="0.45">
      <c r="A510">
        <v>6.1642481341550592E-3</v>
      </c>
      <c r="B510">
        <f t="shared" si="35"/>
        <v>3.7997955059434128E-5</v>
      </c>
      <c r="F510">
        <f t="shared" si="39"/>
        <v>8.7463697147846043E-5</v>
      </c>
      <c r="G510" s="1">
        <f t="shared" si="40"/>
        <v>9.3522027965525882E-3</v>
      </c>
      <c r="H510" s="1">
        <f t="shared" si="36"/>
        <v>1.5384373600329009E-2</v>
      </c>
      <c r="I510">
        <f t="shared" si="37"/>
        <v>15384.373600329009</v>
      </c>
      <c r="J510">
        <f t="shared" si="38"/>
        <v>34400.505161588844</v>
      </c>
    </row>
    <row r="511" spans="1:10" x14ac:dyDescent="0.45">
      <c r="A511">
        <v>2.432329893053975E-3</v>
      </c>
      <c r="B511">
        <f t="shared" si="35"/>
        <v>5.9162287086439616E-6</v>
      </c>
      <c r="F511">
        <f t="shared" si="39"/>
        <v>8.5975601318016162E-5</v>
      </c>
      <c r="G511" s="1">
        <f t="shared" si="40"/>
        <v>9.2723029134091691E-3</v>
      </c>
      <c r="H511" s="1">
        <f t="shared" si="36"/>
        <v>1.5252938292558083E-2</v>
      </c>
      <c r="I511">
        <f t="shared" si="37"/>
        <v>15252.938292558083</v>
      </c>
      <c r="J511">
        <f t="shared" si="38"/>
        <v>34106.606878769453</v>
      </c>
    </row>
    <row r="512" spans="1:10" x14ac:dyDescent="0.45">
      <c r="A512">
        <v>-3.0824367058812641E-3</v>
      </c>
      <c r="B512">
        <f t="shared" si="35"/>
        <v>9.5014160457641388E-6</v>
      </c>
      <c r="F512">
        <f t="shared" si="39"/>
        <v>8.3525468952753133E-5</v>
      </c>
      <c r="G512" s="1">
        <f t="shared" si="40"/>
        <v>9.1392269340876495E-3</v>
      </c>
      <c r="H512" s="1">
        <f t="shared" si="36"/>
        <v>1.5034028306574184E-2</v>
      </c>
      <c r="I512">
        <f t="shared" si="37"/>
        <v>15034.028306574184</v>
      </c>
      <c r="J512">
        <f t="shared" si="38"/>
        <v>33617.109269155924</v>
      </c>
    </row>
    <row r="513" spans="1:10" x14ac:dyDescent="0.45">
      <c r="A513">
        <v>-1.6126750779221766E-2</v>
      </c>
      <c r="B513">
        <f t="shared" si="35"/>
        <v>2.6007209069512982E-4</v>
      </c>
      <c r="F513">
        <f t="shared" si="39"/>
        <v>8.1170213380295675E-5</v>
      </c>
      <c r="G513" s="1">
        <f t="shared" si="40"/>
        <v>9.009451336252151E-3</v>
      </c>
      <c r="H513" s="1">
        <f t="shared" si="36"/>
        <v>1.4820547448134788E-2</v>
      </c>
      <c r="I513">
        <f t="shared" si="37"/>
        <v>14820.547448134788</v>
      </c>
      <c r="J513">
        <f t="shared" si="38"/>
        <v>33139.751557790427</v>
      </c>
    </row>
    <row r="514" spans="1:10" x14ac:dyDescent="0.45">
      <c r="A514">
        <v>2.4871042114682496E-2</v>
      </c>
      <c r="B514">
        <f t="shared" si="35"/>
        <v>6.1856873587031033E-4</v>
      </c>
      <c r="F514">
        <f t="shared" si="39"/>
        <v>8.6524974929236788E-5</v>
      </c>
      <c r="G514" s="1">
        <f t="shared" si="40"/>
        <v>9.3018801824812161E-3</v>
      </c>
      <c r="H514" s="1">
        <f t="shared" si="36"/>
        <v>1.53015929001816E-2</v>
      </c>
      <c r="I514">
        <f t="shared" si="37"/>
        <v>15301.5929001816</v>
      </c>
      <c r="J514">
        <f t="shared" si="38"/>
        <v>34215.401888834211</v>
      </c>
    </row>
    <row r="515" spans="1:10" x14ac:dyDescent="0.45">
      <c r="A515">
        <v>4.7980392992030829E-3</v>
      </c>
      <c r="B515">
        <f t="shared" ref="B515:B578" si="41">A515^2</f>
        <v>2.302118111669721E-5</v>
      </c>
      <c r="F515">
        <f t="shared" si="39"/>
        <v>1.0247788057853789E-4</v>
      </c>
      <c r="G515" s="1">
        <f t="shared" si="40"/>
        <v>1.0123135906355199E-2</v>
      </c>
      <c r="H515" s="1">
        <f t="shared" si="36"/>
        <v>1.6652558565954302E-2</v>
      </c>
      <c r="I515">
        <f t="shared" si="37"/>
        <v>16652.558565954303</v>
      </c>
      <c r="J515">
        <f t="shared" si="38"/>
        <v>37236.252952770235</v>
      </c>
    </row>
    <row r="516" spans="1:10" x14ac:dyDescent="0.45">
      <c r="A516">
        <v>-3.2392563298344612E-3</v>
      </c>
      <c r="B516">
        <f t="shared" si="41"/>
        <v>1.0492781570372624E-5</v>
      </c>
      <c r="F516">
        <f t="shared" si="39"/>
        <v>1.0000540504173034E-4</v>
      </c>
      <c r="G516" s="1">
        <f t="shared" si="40"/>
        <v>1.0000270248434806E-2</v>
      </c>
      <c r="H516" s="1">
        <f t="shared" si="36"/>
        <v>1.6450444558675257E-2</v>
      </c>
      <c r="I516">
        <f t="shared" si="37"/>
        <v>16450.444558675255</v>
      </c>
      <c r="J516">
        <f t="shared" si="38"/>
        <v>36784.312293289404</v>
      </c>
    </row>
    <row r="517" spans="1:10" x14ac:dyDescent="0.45">
      <c r="A517">
        <v>3.6059077501704451E-3</v>
      </c>
      <c r="B517">
        <f t="shared" si="41"/>
        <v>1.3002570702739282E-5</v>
      </c>
      <c r="F517">
        <f t="shared" si="39"/>
        <v>9.7312343450978953E-5</v>
      </c>
      <c r="G517" s="1">
        <f t="shared" si="40"/>
        <v>9.8647018936701258E-3</v>
      </c>
      <c r="H517" s="1">
        <f t="shared" si="36"/>
        <v>1.6227434615087358E-2</v>
      </c>
      <c r="I517">
        <f t="shared" si="37"/>
        <v>16227.434615087359</v>
      </c>
      <c r="J517">
        <f t="shared" si="38"/>
        <v>36285.646899768471</v>
      </c>
    </row>
    <row r="518" spans="1:10" x14ac:dyDescent="0.45">
      <c r="A518">
        <v>-3.5694256439455785E-4</v>
      </c>
      <c r="B518">
        <f t="shared" si="41"/>
        <v>1.2740799427656306E-7</v>
      </c>
      <c r="F518">
        <f t="shared" si="39"/>
        <v>9.4762297365927182E-5</v>
      </c>
      <c r="G518" s="1">
        <f t="shared" si="40"/>
        <v>9.7345928197293992E-3</v>
      </c>
      <c r="H518" s="1">
        <f t="shared" si="36"/>
        <v>1.6013405188454861E-2</v>
      </c>
      <c r="I518">
        <f t="shared" si="37"/>
        <v>16013.405188454861</v>
      </c>
      <c r="J518">
        <f t="shared" si="38"/>
        <v>35807.062552632902</v>
      </c>
    </row>
    <row r="519" spans="1:10" x14ac:dyDescent="0.45">
      <c r="A519">
        <v>1.4072384146857075E-3</v>
      </c>
      <c r="B519">
        <f t="shared" si="41"/>
        <v>1.9803199557671433E-6</v>
      </c>
      <c r="F519">
        <f t="shared" si="39"/>
        <v>9.1921885640321269E-5</v>
      </c>
      <c r="G519" s="1">
        <f t="shared" si="40"/>
        <v>9.5875901894230588E-3</v>
      </c>
      <c r="H519" s="1">
        <f t="shared" si="36"/>
        <v>1.5771585861600931E-2</v>
      </c>
      <c r="I519">
        <f t="shared" si="37"/>
        <v>15771.58586160093</v>
      </c>
      <c r="J519">
        <f t="shared" si="38"/>
        <v>35266.338099514272</v>
      </c>
    </row>
    <row r="520" spans="1:10" x14ac:dyDescent="0.45">
      <c r="A520">
        <v>-3.0736146072740667E-3</v>
      </c>
      <c r="B520">
        <f t="shared" si="41"/>
        <v>9.4471067540485158E-6</v>
      </c>
      <c r="F520">
        <f t="shared" si="39"/>
        <v>8.9217272863309255E-5</v>
      </c>
      <c r="G520" s="1">
        <f t="shared" si="40"/>
        <v>9.4454895512783906E-3</v>
      </c>
      <c r="H520" s="1">
        <f t="shared" si="36"/>
        <v>1.5537830311852952E-2</v>
      </c>
      <c r="I520">
        <f t="shared" si="37"/>
        <v>15537.830311852953</v>
      </c>
      <c r="J520">
        <f t="shared" si="38"/>
        <v>34743.644800159964</v>
      </c>
    </row>
    <row r="521" spans="1:10" x14ac:dyDescent="0.45">
      <c r="A521">
        <v>7.0709575084038079E-3</v>
      </c>
      <c r="B521">
        <f t="shared" si="41"/>
        <v>4.9998440085652183E-5</v>
      </c>
      <c r="F521">
        <f t="shared" si="39"/>
        <v>8.6779973725149343E-5</v>
      </c>
      <c r="G521" s="1">
        <f t="shared" si="40"/>
        <v>9.3155769400048074E-3</v>
      </c>
      <c r="H521" s="1">
        <f t="shared" si="36"/>
        <v>1.5324124066307909E-2</v>
      </c>
      <c r="I521">
        <f t="shared" si="37"/>
        <v>15324.124066307908</v>
      </c>
      <c r="J521">
        <f t="shared" si="38"/>
        <v>34265.783107904979</v>
      </c>
    </row>
    <row r="522" spans="1:10" x14ac:dyDescent="0.45">
      <c r="A522">
        <v>5.4284328143694438E-3</v>
      </c>
      <c r="B522">
        <f t="shared" si="41"/>
        <v>2.9467882820122962E-5</v>
      </c>
      <c r="F522">
        <f t="shared" si="39"/>
        <v>8.566702121124472E-5</v>
      </c>
      <c r="G522" s="1">
        <f t="shared" si="40"/>
        <v>9.2556480708400266E-3</v>
      </c>
      <c r="H522" s="1">
        <f t="shared" si="36"/>
        <v>1.5225541076531844E-2</v>
      </c>
      <c r="I522">
        <f t="shared" si="37"/>
        <v>15225.541076531843</v>
      </c>
      <c r="J522">
        <f t="shared" si="38"/>
        <v>34045.344841340528</v>
      </c>
    </row>
    <row r="523" spans="1:10" x14ac:dyDescent="0.45">
      <c r="A523">
        <v>-9.3544485935126431E-3</v>
      </c>
      <c r="B523">
        <f t="shared" si="41"/>
        <v>8.7505708488670668E-5</v>
      </c>
      <c r="F523">
        <f t="shared" si="39"/>
        <v>8.3908699711664311E-5</v>
      </c>
      <c r="G523" s="1">
        <f t="shared" si="40"/>
        <v>9.1601691966723148E-3</v>
      </c>
      <c r="H523" s="1">
        <f t="shared" si="36"/>
        <v>1.5068478328525958E-2</v>
      </c>
      <c r="I523">
        <f t="shared" si="37"/>
        <v>15068.478328525958</v>
      </c>
      <c r="J523">
        <f t="shared" si="38"/>
        <v>33694.141860066455</v>
      </c>
    </row>
    <row r="524" spans="1:10" x14ac:dyDescent="0.45">
      <c r="A524">
        <v>3.2650632419972681E-3</v>
      </c>
      <c r="B524">
        <f t="shared" si="41"/>
        <v>1.0660637974241711E-5</v>
      </c>
      <c r="F524">
        <f t="shared" si="39"/>
        <v>8.4016368219637998E-5</v>
      </c>
      <c r="G524" s="1">
        <f t="shared" si="40"/>
        <v>9.1660443060045255E-3</v>
      </c>
      <c r="H524" s="1">
        <f t="shared" si="36"/>
        <v>1.5078142883377445E-2</v>
      </c>
      <c r="I524">
        <f t="shared" si="37"/>
        <v>15078.142883377444</v>
      </c>
      <c r="J524">
        <f t="shared" si="38"/>
        <v>33715.75246168665</v>
      </c>
    </row>
    <row r="525" spans="1:10" x14ac:dyDescent="0.45">
      <c r="A525">
        <v>1.0656799531716388E-2</v>
      </c>
      <c r="B525">
        <f t="shared" si="41"/>
        <v>1.1356737625919063E-4</v>
      </c>
      <c r="F525">
        <f t="shared" si="39"/>
        <v>8.1811986106526208E-5</v>
      </c>
      <c r="G525" s="1">
        <f t="shared" si="40"/>
        <v>9.0449978500011935E-3</v>
      </c>
      <c r="H525" s="1">
        <f t="shared" si="36"/>
        <v>1.4879021463251964E-2</v>
      </c>
      <c r="I525">
        <f t="shared" si="37"/>
        <v>14879.021463251964</v>
      </c>
      <c r="J525">
        <f t="shared" si="38"/>
        <v>33270.50343050978</v>
      </c>
    </row>
    <row r="526" spans="1:10" x14ac:dyDescent="0.45">
      <c r="A526">
        <v>-2.1519554138649255E-3</v>
      </c>
      <c r="B526">
        <f t="shared" si="41"/>
        <v>4.6309121032625628E-6</v>
      </c>
      <c r="F526">
        <f t="shared" si="39"/>
        <v>8.2755162513734623E-5</v>
      </c>
      <c r="G526" s="1">
        <f t="shared" si="40"/>
        <v>9.0969864523222539E-3</v>
      </c>
      <c r="H526" s="1">
        <f t="shared" si="36"/>
        <v>1.4964542714070108E-2</v>
      </c>
      <c r="I526">
        <f t="shared" si="37"/>
        <v>14964.542714070109</v>
      </c>
      <c r="J526">
        <f t="shared" si="38"/>
        <v>33461.734760859959</v>
      </c>
    </row>
    <row r="527" spans="1:10" x14ac:dyDescent="0.45">
      <c r="A527">
        <v>-5.0472408474888653E-4</v>
      </c>
      <c r="B527">
        <f t="shared" si="41"/>
        <v>2.5474640172560119E-7</v>
      </c>
      <c r="F527">
        <f t="shared" si="39"/>
        <v>8.0408314291338838E-5</v>
      </c>
      <c r="G527" s="1">
        <f t="shared" si="40"/>
        <v>8.9670683219957026E-3</v>
      </c>
      <c r="H527" s="1">
        <f t="shared" si="36"/>
        <v>1.4750827389682931E-2</v>
      </c>
      <c r="I527">
        <f t="shared" si="37"/>
        <v>14750.827389682931</v>
      </c>
      <c r="J527">
        <f t="shared" si="38"/>
        <v>32983.852767696815</v>
      </c>
    </row>
    <row r="528" spans="1:10" x14ac:dyDescent="0.45">
      <c r="A528">
        <v>-1.0359167390561197E-2</v>
      </c>
      <c r="B528">
        <f t="shared" si="41"/>
        <v>1.0731234902566647E-4</v>
      </c>
      <c r="F528">
        <f t="shared" si="39"/>
        <v>7.7965000433834517E-5</v>
      </c>
      <c r="G528" s="1">
        <f t="shared" si="40"/>
        <v>8.8297791837528145E-3</v>
      </c>
      <c r="H528" s="1">
        <f t="shared" si="36"/>
        <v>1.452498675727338E-2</v>
      </c>
      <c r="I528">
        <f t="shared" si="37"/>
        <v>14524.98675727338</v>
      </c>
      <c r="J528">
        <f t="shared" si="38"/>
        <v>32478.857761547519</v>
      </c>
    </row>
    <row r="529" spans="1:10" x14ac:dyDescent="0.45">
      <c r="A529">
        <v>8.1524831330170855E-3</v>
      </c>
      <c r="B529">
        <f t="shared" si="41"/>
        <v>6.6462981234128077E-5</v>
      </c>
      <c r="F529">
        <f t="shared" si="39"/>
        <v>7.853254091773946E-5</v>
      </c>
      <c r="G529" s="1">
        <f t="shared" si="40"/>
        <v>8.8618587732901422E-3</v>
      </c>
      <c r="H529" s="1">
        <f t="shared" si="36"/>
        <v>1.4577757682062284E-2</v>
      </c>
      <c r="I529">
        <f t="shared" si="37"/>
        <v>14577.757682062283</v>
      </c>
      <c r="J529">
        <f t="shared" si="38"/>
        <v>32596.857136611034</v>
      </c>
    </row>
    <row r="530" spans="1:10" x14ac:dyDescent="0.45">
      <c r="A530">
        <v>4.0520944821764715E-3</v>
      </c>
      <c r="B530">
        <f t="shared" si="41"/>
        <v>1.6419469692485006E-5</v>
      </c>
      <c r="F530">
        <f t="shared" si="39"/>
        <v>7.8169389961035797E-5</v>
      </c>
      <c r="G530" s="1">
        <f t="shared" si="40"/>
        <v>8.8413454836374188E-3</v>
      </c>
      <c r="H530" s="1">
        <f t="shared" si="36"/>
        <v>1.4544013320583554E-2</v>
      </c>
      <c r="I530">
        <f t="shared" si="37"/>
        <v>14544.013320583554</v>
      </c>
      <c r="J530">
        <f t="shared" si="38"/>
        <v>32521.402450487269</v>
      </c>
    </row>
    <row r="531" spans="1:10" x14ac:dyDescent="0.45">
      <c r="A531">
        <v>1.4941497283871286E-2</v>
      </c>
      <c r="B531">
        <f t="shared" si="41"/>
        <v>2.2324834108393302E-4</v>
      </c>
      <c r="F531">
        <f t="shared" si="39"/>
        <v>7.6165853603653785E-5</v>
      </c>
      <c r="G531" s="1">
        <f t="shared" si="40"/>
        <v>8.7273050596191372E-3</v>
      </c>
      <c r="H531" s="1">
        <f t="shared" si="36"/>
        <v>1.4356416823073481E-2</v>
      </c>
      <c r="I531">
        <f t="shared" si="37"/>
        <v>14356.416823073481</v>
      </c>
      <c r="J531">
        <f t="shared" si="38"/>
        <v>32101.923929713877</v>
      </c>
    </row>
    <row r="532" spans="1:10" x14ac:dyDescent="0.45">
      <c r="A532">
        <v>-6.3793777371756732E-3</v>
      </c>
      <c r="B532">
        <f t="shared" si="41"/>
        <v>4.069646031357261E-5</v>
      </c>
      <c r="F532">
        <f t="shared" si="39"/>
        <v>8.0559425083570637E-5</v>
      </c>
      <c r="G532" s="1">
        <f t="shared" si="40"/>
        <v>8.9754902419628673E-3</v>
      </c>
      <c r="H532" s="1">
        <f t="shared" si="36"/>
        <v>1.4764681448028916E-2</v>
      </c>
      <c r="I532">
        <f t="shared" si="37"/>
        <v>14764.681448028916</v>
      </c>
      <c r="J532">
        <f t="shared" si="38"/>
        <v>33014.831383922683</v>
      </c>
    </row>
    <row r="533" spans="1:10" x14ac:dyDescent="0.45">
      <c r="A533">
        <v>-2.0458355720620602E-2</v>
      </c>
      <c r="B533">
        <f t="shared" si="41"/>
        <v>4.1854431879144975E-4</v>
      </c>
      <c r="F533">
        <f t="shared" si="39"/>
        <v>7.9363233245910168E-5</v>
      </c>
      <c r="G533" s="1">
        <f t="shared" si="40"/>
        <v>8.9086044499635392E-3</v>
      </c>
      <c r="H533" s="1">
        <f t="shared" si="36"/>
        <v>1.4654654320190022E-2</v>
      </c>
      <c r="I533">
        <f t="shared" si="37"/>
        <v>14654.654320190022</v>
      </c>
      <c r="J533">
        <f t="shared" si="38"/>
        <v>32768.803246705858</v>
      </c>
    </row>
    <row r="534" spans="1:10" x14ac:dyDescent="0.45">
      <c r="A534">
        <v>-3.2328102861356456E-3</v>
      </c>
      <c r="B534">
        <f t="shared" si="41"/>
        <v>1.0451062346144435E-5</v>
      </c>
      <c r="F534">
        <f t="shared" si="39"/>
        <v>8.9515051241663269E-5</v>
      </c>
      <c r="G534" s="1">
        <f t="shared" si="40"/>
        <v>9.4612394136108433E-3</v>
      </c>
      <c r="H534" s="1">
        <f t="shared" si="36"/>
        <v>1.5563738835389838E-2</v>
      </c>
      <c r="I534">
        <f t="shared" si="37"/>
        <v>15563.738835389839</v>
      </c>
      <c r="J534">
        <f t="shared" si="38"/>
        <v>34801.578019985092</v>
      </c>
    </row>
    <row r="535" spans="1:10" x14ac:dyDescent="0.45">
      <c r="A535">
        <v>-4.604089554050006E-3</v>
      </c>
      <c r="B535">
        <f t="shared" si="41"/>
        <v>2.1197640621712383E-5</v>
      </c>
      <c r="F535">
        <f t="shared" si="39"/>
        <v>8.7139874797701855E-5</v>
      </c>
      <c r="G535" s="1">
        <f t="shared" si="40"/>
        <v>9.3348741179354877E-3</v>
      </c>
      <c r="H535" s="1">
        <f t="shared" si="36"/>
        <v>1.5355867924003877E-2</v>
      </c>
      <c r="I535">
        <f t="shared" si="37"/>
        <v>15355.867924003878</v>
      </c>
      <c r="J535">
        <f t="shared" si="38"/>
        <v>34336.764531581248</v>
      </c>
    </row>
    <row r="536" spans="1:10" x14ac:dyDescent="0.45">
      <c r="A536">
        <v>-6.168875188450329E-3</v>
      </c>
      <c r="B536">
        <f t="shared" si="41"/>
        <v>3.805502109067808E-5</v>
      </c>
      <c r="F536">
        <f t="shared" si="39"/>
        <v>8.5157454884225269E-5</v>
      </c>
      <c r="G536" s="1">
        <f t="shared" si="40"/>
        <v>9.2280796964604329E-3</v>
      </c>
      <c r="H536" s="1">
        <f t="shared" si="36"/>
        <v>1.5180191100677412E-2</v>
      </c>
      <c r="I536">
        <f t="shared" si="37"/>
        <v>15180.191100677412</v>
      </c>
      <c r="J536">
        <f t="shared" si="38"/>
        <v>33943.939212552046</v>
      </c>
    </row>
    <row r="537" spans="1:10" x14ac:dyDescent="0.45">
      <c r="A537">
        <v>-1.3150838640285656E-2</v>
      </c>
      <c r="B537">
        <f t="shared" si="41"/>
        <v>1.7294455694283028E-4</v>
      </c>
      <c r="F537">
        <f t="shared" si="39"/>
        <v>8.374233871889359E-5</v>
      </c>
      <c r="G537" s="1">
        <f t="shared" si="40"/>
        <v>9.1510840187867138E-3</v>
      </c>
      <c r="H537" s="1">
        <f t="shared" si="36"/>
        <v>1.5053533210904144E-2</v>
      </c>
      <c r="I537">
        <f t="shared" si="37"/>
        <v>15053.533210904145</v>
      </c>
      <c r="J537">
        <f t="shared" si="38"/>
        <v>33660.723561132349</v>
      </c>
    </row>
    <row r="538" spans="1:10" x14ac:dyDescent="0.45">
      <c r="A538">
        <v>2.2289350454229861E-2</v>
      </c>
      <c r="B538">
        <f t="shared" si="41"/>
        <v>4.968151436714769E-4</v>
      </c>
      <c r="F538">
        <f t="shared" si="39"/>
        <v>8.6225289446823736E-5</v>
      </c>
      <c r="G538" s="1">
        <f t="shared" si="40"/>
        <v>9.2857573437401288E-3</v>
      </c>
      <c r="H538" s="1">
        <f t="shared" ref="H538:H601" si="42">G538*$H$1</f>
        <v>1.5275070830452512E-2</v>
      </c>
      <c r="I538">
        <f t="shared" ref="I538:I601" si="43">H538*$K$1</f>
        <v>15275.070830452512</v>
      </c>
      <c r="J538">
        <f t="shared" ref="J538:J601" si="44">I538*SQRT($K$2)</f>
        <v>34156.096738015985</v>
      </c>
    </row>
    <row r="539" spans="1:10" x14ac:dyDescent="0.45">
      <c r="A539">
        <v>2.9855186767235864E-3</v>
      </c>
      <c r="B539">
        <f t="shared" si="41"/>
        <v>8.913321769065354E-6</v>
      </c>
      <c r="F539">
        <f t="shared" ref="F539:F602" si="45">(1-$E$1)*SUMPRODUCT($E$2:$E$152,B388:B538)</f>
        <v>9.8536810729616937E-5</v>
      </c>
      <c r="G539" s="1">
        <f t="shared" ref="G539:G602" si="46">SQRT(F539)</f>
        <v>9.9265709451762316E-3</v>
      </c>
      <c r="H539" s="1">
        <f t="shared" si="42"/>
        <v>1.6329209204814902E-2</v>
      </c>
      <c r="I539">
        <f t="shared" si="43"/>
        <v>16329.209204814902</v>
      </c>
      <c r="J539">
        <f t="shared" si="44"/>
        <v>36513.221800781408</v>
      </c>
    </row>
    <row r="540" spans="1:10" x14ac:dyDescent="0.45">
      <c r="A540">
        <v>-1.6654212231514975E-2</v>
      </c>
      <c r="B540">
        <f t="shared" si="41"/>
        <v>2.7736278505234303E-4</v>
      </c>
      <c r="F540">
        <f t="shared" si="45"/>
        <v>9.5845623768511467E-5</v>
      </c>
      <c r="G540" s="1">
        <f t="shared" si="46"/>
        <v>9.7900778223930108E-3</v>
      </c>
      <c r="H540" s="1">
        <f t="shared" si="42"/>
        <v>1.6104678017836504E-2</v>
      </c>
      <c r="I540">
        <f t="shared" si="43"/>
        <v>16104.678017836504</v>
      </c>
      <c r="J540">
        <f t="shared" si="44"/>
        <v>36011.154803628997</v>
      </c>
    </row>
    <row r="541" spans="1:10" x14ac:dyDescent="0.45">
      <c r="A541">
        <v>1.238993263541488E-3</v>
      </c>
      <c r="B541">
        <f t="shared" si="41"/>
        <v>1.5351043071011872E-6</v>
      </c>
      <c r="F541">
        <f t="shared" si="45"/>
        <v>1.0128008379844773E-4</v>
      </c>
      <c r="G541" s="1">
        <f t="shared" si="46"/>
        <v>1.0063800663688035E-2</v>
      </c>
      <c r="H541" s="1">
        <f t="shared" si="42"/>
        <v>1.6554952091766818E-2</v>
      </c>
      <c r="I541">
        <f t="shared" si="43"/>
        <v>16554.952091766816</v>
      </c>
      <c r="J541">
        <f t="shared" si="44"/>
        <v>37017.99824144294</v>
      </c>
    </row>
    <row r="542" spans="1:10" x14ac:dyDescent="0.45">
      <c r="A542">
        <v>1.2473037713789381E-2</v>
      </c>
      <c r="B542">
        <f t="shared" si="41"/>
        <v>1.5557666980961222E-4</v>
      </c>
      <c r="F542">
        <f t="shared" si="45"/>
        <v>9.8287727937663844E-5</v>
      </c>
      <c r="G542" s="1">
        <f t="shared" si="46"/>
        <v>9.9140167408404076E-3</v>
      </c>
      <c r="H542" s="1">
        <f t="shared" si="42"/>
        <v>1.6308557538682471E-2</v>
      </c>
      <c r="I542">
        <f t="shared" si="43"/>
        <v>16308.557538682471</v>
      </c>
      <c r="J542">
        <f t="shared" si="44"/>
        <v>36467.043271460665</v>
      </c>
    </row>
    <row r="543" spans="1:10" x14ac:dyDescent="0.45">
      <c r="A543">
        <v>-1.1250517673033755E-2</v>
      </c>
      <c r="B543">
        <f t="shared" si="41"/>
        <v>1.2657414791124487E-4</v>
      </c>
      <c r="F543">
        <f t="shared" si="45"/>
        <v>1.0000107022326559E-4</v>
      </c>
      <c r="G543" s="1">
        <f t="shared" si="46"/>
        <v>1.0000053511020108E-2</v>
      </c>
      <c r="H543" s="1">
        <f t="shared" si="42"/>
        <v>1.6450088025628078E-2</v>
      </c>
      <c r="I543">
        <f t="shared" si="43"/>
        <v>16450.088025628076</v>
      </c>
      <c r="J543">
        <f t="shared" si="44"/>
        <v>36783.515061159684</v>
      </c>
    </row>
    <row r="544" spans="1:10" x14ac:dyDescent="0.45">
      <c r="A544">
        <v>4.2045485315611586E-3</v>
      </c>
      <c r="B544">
        <f t="shared" si="41"/>
        <v>1.7678228354253095E-5</v>
      </c>
      <c r="F544">
        <f t="shared" si="45"/>
        <v>1.0076578231595816E-4</v>
      </c>
      <c r="G544" s="1">
        <f t="shared" si="46"/>
        <v>1.0038216092312327E-2</v>
      </c>
      <c r="H544" s="1">
        <f t="shared" si="42"/>
        <v>1.651286547185378E-2</v>
      </c>
      <c r="I544">
        <f t="shared" si="43"/>
        <v>16512.86547185378</v>
      </c>
      <c r="J544">
        <f t="shared" si="44"/>
        <v>36923.889698374194</v>
      </c>
    </row>
    <row r="545" spans="1:10" x14ac:dyDescent="0.45">
      <c r="A545">
        <v>4.7423213800357189E-3</v>
      </c>
      <c r="B545">
        <f t="shared" si="41"/>
        <v>2.2489612071543884E-5</v>
      </c>
      <c r="F545">
        <f t="shared" si="45"/>
        <v>9.8271616437570824E-5</v>
      </c>
      <c r="G545" s="1">
        <f t="shared" si="46"/>
        <v>9.9132041458637795E-3</v>
      </c>
      <c r="H545" s="1">
        <f t="shared" si="42"/>
        <v>1.6307220819945917E-2</v>
      </c>
      <c r="I545">
        <f t="shared" si="43"/>
        <v>16307.220819945918</v>
      </c>
      <c r="J545">
        <f t="shared" si="44"/>
        <v>36464.05427749893</v>
      </c>
    </row>
    <row r="546" spans="1:10" x14ac:dyDescent="0.45">
      <c r="A546">
        <v>-6.9798943513887934E-3</v>
      </c>
      <c r="B546">
        <f t="shared" si="41"/>
        <v>4.8718925156549185E-5</v>
      </c>
      <c r="F546">
        <f t="shared" si="45"/>
        <v>9.598482394734882E-5</v>
      </c>
      <c r="G546" s="1">
        <f t="shared" si="46"/>
        <v>9.7971844908294348E-3</v>
      </c>
      <c r="H546" s="1">
        <f t="shared" si="42"/>
        <v>1.611636848741442E-2</v>
      </c>
      <c r="I546">
        <f t="shared" si="43"/>
        <v>16116.36848741442</v>
      </c>
      <c r="J546">
        <f t="shared" si="44"/>
        <v>36037.295488294112</v>
      </c>
    </row>
    <row r="547" spans="1:10" x14ac:dyDescent="0.45">
      <c r="A547">
        <v>8.2574615589692257E-3</v>
      </c>
      <c r="B547">
        <f t="shared" si="41"/>
        <v>6.818567139785448E-5</v>
      </c>
      <c r="F547">
        <f t="shared" si="45"/>
        <v>9.4444163849534884E-5</v>
      </c>
      <c r="G547" s="1">
        <f t="shared" si="46"/>
        <v>9.7182387215757823E-3</v>
      </c>
      <c r="H547" s="1">
        <f t="shared" si="42"/>
        <v>1.5986502696992162E-2</v>
      </c>
      <c r="I547">
        <f t="shared" si="43"/>
        <v>15986.502696992162</v>
      </c>
      <c r="J547">
        <f t="shared" si="44"/>
        <v>35746.906752958195</v>
      </c>
    </row>
    <row r="548" spans="1:10" x14ac:dyDescent="0.45">
      <c r="A548">
        <v>4.3293880480632652E-3</v>
      </c>
      <c r="B548">
        <f t="shared" si="41"/>
        <v>1.8743600870713049E-5</v>
      </c>
      <c r="F548">
        <f t="shared" si="45"/>
        <v>9.3593793220901869E-5</v>
      </c>
      <c r="G548" s="1">
        <f t="shared" si="46"/>
        <v>9.6743885192244507E-3</v>
      </c>
      <c r="H548" s="1">
        <f t="shared" si="42"/>
        <v>1.5914369114124222E-2</v>
      </c>
      <c r="I548">
        <f t="shared" si="43"/>
        <v>15914.369114124222</v>
      </c>
      <c r="J548">
        <f t="shared" si="44"/>
        <v>35585.611158204869</v>
      </c>
    </row>
    <row r="549" spans="1:10" x14ac:dyDescent="0.45">
      <c r="A549">
        <v>-6.3157358454191126E-3</v>
      </c>
      <c r="B549">
        <f t="shared" si="41"/>
        <v>3.9888519269111876E-5</v>
      </c>
      <c r="F549">
        <f t="shared" si="45"/>
        <v>9.1345613650512824E-5</v>
      </c>
      <c r="G549" s="1">
        <f t="shared" si="46"/>
        <v>9.5574899241648598E-3</v>
      </c>
      <c r="H549" s="1">
        <f t="shared" si="42"/>
        <v>1.5722070925251196E-2</v>
      </c>
      <c r="I549">
        <f t="shared" si="43"/>
        <v>15722.070925251197</v>
      </c>
      <c r="J549">
        <f t="shared" si="44"/>
        <v>35155.619335934694</v>
      </c>
    </row>
    <row r="550" spans="1:10" x14ac:dyDescent="0.45">
      <c r="A550">
        <v>1.4435363482334651E-2</v>
      </c>
      <c r="B550">
        <f t="shared" si="41"/>
        <v>2.083797188671208E-4</v>
      </c>
      <c r="F550">
        <f t="shared" si="45"/>
        <v>8.9740632459747542E-5</v>
      </c>
      <c r="G550" s="1">
        <f t="shared" si="46"/>
        <v>9.4731532479817686E-3</v>
      </c>
      <c r="H550" s="1">
        <f t="shared" si="42"/>
        <v>1.558333709293001E-2</v>
      </c>
      <c r="I550">
        <f t="shared" si="43"/>
        <v>15583.337092930011</v>
      </c>
      <c r="J550">
        <f t="shared" si="44"/>
        <v>34845.401056085466</v>
      </c>
    </row>
    <row r="551" spans="1:10" x14ac:dyDescent="0.45">
      <c r="A551">
        <v>9.3722292149323039E-3</v>
      </c>
      <c r="B551">
        <f t="shared" si="41"/>
        <v>8.7838680457230596E-5</v>
      </c>
      <c r="F551">
        <f t="shared" si="45"/>
        <v>9.3296346411742007E-5</v>
      </c>
      <c r="G551" s="1">
        <f t="shared" si="46"/>
        <v>9.6590033860508608E-3</v>
      </c>
      <c r="H551" s="1">
        <f t="shared" si="42"/>
        <v>1.5889060570053667E-2</v>
      </c>
      <c r="I551">
        <f t="shared" si="43"/>
        <v>15889.060570053667</v>
      </c>
      <c r="J551">
        <f t="shared" si="44"/>
        <v>35529.019533251558</v>
      </c>
    </row>
    <row r="552" spans="1:10" x14ac:dyDescent="0.45">
      <c r="A552">
        <v>-6.5566496232349891E-3</v>
      </c>
      <c r="B552">
        <f t="shared" si="41"/>
        <v>4.2989654281867527E-5</v>
      </c>
      <c r="F552">
        <f t="shared" si="45"/>
        <v>9.3100495099475116E-5</v>
      </c>
      <c r="G552" s="1">
        <f t="shared" si="46"/>
        <v>9.6488597823512351E-3</v>
      </c>
      <c r="H552" s="1">
        <f t="shared" si="42"/>
        <v>1.5872374341967782E-2</v>
      </c>
      <c r="I552">
        <f t="shared" si="43"/>
        <v>15872.374341967781</v>
      </c>
      <c r="J552">
        <f t="shared" si="44"/>
        <v>35491.707992963456</v>
      </c>
    </row>
    <row r="553" spans="1:10" x14ac:dyDescent="0.45">
      <c r="A553">
        <v>5.6182329899456818E-3</v>
      </c>
      <c r="B553">
        <f t="shared" si="41"/>
        <v>3.1564541929313997E-5</v>
      </c>
      <c r="F553">
        <f t="shared" si="45"/>
        <v>9.159178009811528E-5</v>
      </c>
      <c r="G553" s="1">
        <f t="shared" si="46"/>
        <v>9.5703594550108351E-3</v>
      </c>
      <c r="H553" s="1">
        <f t="shared" si="42"/>
        <v>1.5743241303492823E-2</v>
      </c>
      <c r="I553">
        <f t="shared" si="43"/>
        <v>15743.241303492823</v>
      </c>
      <c r="J553">
        <f t="shared" si="44"/>
        <v>35202.95774079235</v>
      </c>
    </row>
    <row r="554" spans="1:10" x14ac:dyDescent="0.45">
      <c r="A554">
        <v>-9.2272330221021548E-3</v>
      </c>
      <c r="B554">
        <f t="shared" si="41"/>
        <v>8.5141829244172464E-5</v>
      </c>
      <c r="F554">
        <f t="shared" si="45"/>
        <v>8.9763743389418302E-5</v>
      </c>
      <c r="G554" s="1">
        <f t="shared" si="46"/>
        <v>9.4743729813332924E-3</v>
      </c>
      <c r="H554" s="1">
        <f t="shared" si="42"/>
        <v>1.5585343554293266E-2</v>
      </c>
      <c r="I554">
        <f t="shared" si="43"/>
        <v>15585.343554293266</v>
      </c>
      <c r="J554">
        <f t="shared" si="44"/>
        <v>34849.887640087931</v>
      </c>
    </row>
    <row r="555" spans="1:10" x14ac:dyDescent="0.45">
      <c r="A555">
        <v>9.150426194537431E-4</v>
      </c>
      <c r="B555">
        <f t="shared" si="41"/>
        <v>8.3730299541676771E-7</v>
      </c>
      <c r="F555">
        <f t="shared" si="45"/>
        <v>8.9140021231391296E-5</v>
      </c>
      <c r="G555" s="1">
        <f t="shared" si="46"/>
        <v>9.4413993259151625E-3</v>
      </c>
      <c r="H555" s="1">
        <f t="shared" si="42"/>
        <v>1.5531101891130442E-2</v>
      </c>
      <c r="I555">
        <f t="shared" si="43"/>
        <v>15531.101891130442</v>
      </c>
      <c r="J555">
        <f t="shared" si="44"/>
        <v>34728.599594043211</v>
      </c>
    </row>
    <row r="556" spans="1:10" x14ac:dyDescent="0.45">
      <c r="A556">
        <v>1.3765702533419244E-2</v>
      </c>
      <c r="B556">
        <f t="shared" si="41"/>
        <v>1.89494566238585E-4</v>
      </c>
      <c r="F556">
        <f t="shared" si="45"/>
        <v>8.6490939676829966E-5</v>
      </c>
      <c r="G556" s="1">
        <f t="shared" si="46"/>
        <v>9.3000505201224562E-3</v>
      </c>
      <c r="H556" s="1">
        <f t="shared" si="42"/>
        <v>1.529858310560144E-2</v>
      </c>
      <c r="I556">
        <f t="shared" si="43"/>
        <v>15298.583105601439</v>
      </c>
      <c r="J556">
        <f t="shared" si="44"/>
        <v>34208.671783554666</v>
      </c>
    </row>
    <row r="557" spans="1:10" x14ac:dyDescent="0.45">
      <c r="A557">
        <v>7.2658167482586578E-3</v>
      </c>
      <c r="B557">
        <f t="shared" si="41"/>
        <v>5.2792093019276017E-5</v>
      </c>
      <c r="F557">
        <f t="shared" si="45"/>
        <v>8.9579855165993131E-5</v>
      </c>
      <c r="G557" s="1">
        <f t="shared" si="46"/>
        <v>9.4646634998817123E-3</v>
      </c>
      <c r="H557" s="1">
        <f t="shared" si="42"/>
        <v>1.5569371457305418E-2</v>
      </c>
      <c r="I557">
        <f t="shared" si="43"/>
        <v>15569.371457305419</v>
      </c>
      <c r="J557">
        <f t="shared" si="44"/>
        <v>34814.172945479884</v>
      </c>
    </row>
    <row r="558" spans="1:10" x14ac:dyDescent="0.45">
      <c r="A558">
        <v>5.1504002840374596E-3</v>
      </c>
      <c r="B558">
        <f t="shared" si="41"/>
        <v>2.6526623085813146E-5</v>
      </c>
      <c r="F558">
        <f t="shared" si="45"/>
        <v>8.8476187555658949E-5</v>
      </c>
      <c r="G558" s="1">
        <f t="shared" si="46"/>
        <v>9.4061781588304482E-3</v>
      </c>
      <c r="H558" s="1">
        <f t="shared" si="42"/>
        <v>1.5473163071276087E-2</v>
      </c>
      <c r="I558">
        <f t="shared" si="43"/>
        <v>15473.163071276087</v>
      </c>
      <c r="J558">
        <f t="shared" si="44"/>
        <v>34599.044454312752</v>
      </c>
    </row>
    <row r="559" spans="1:10" x14ac:dyDescent="0.45">
      <c r="A559">
        <v>3.0079263524385169E-3</v>
      </c>
      <c r="B559">
        <f t="shared" si="41"/>
        <v>9.0476209416940809E-6</v>
      </c>
      <c r="F559">
        <f t="shared" si="45"/>
        <v>8.6594242627813001E-5</v>
      </c>
      <c r="G559" s="1">
        <f t="shared" si="46"/>
        <v>9.3056027546748951E-3</v>
      </c>
      <c r="H559" s="1">
        <f t="shared" si="42"/>
        <v>1.5307716531440203E-2</v>
      </c>
      <c r="I559">
        <f t="shared" si="43"/>
        <v>15307.716531440203</v>
      </c>
      <c r="J559">
        <f t="shared" si="44"/>
        <v>34229.094744597591</v>
      </c>
    </row>
    <row r="560" spans="1:10" x14ac:dyDescent="0.45">
      <c r="A560">
        <v>6.3120069171418436E-3</v>
      </c>
      <c r="B560">
        <f t="shared" si="41"/>
        <v>3.9841431322046479E-5</v>
      </c>
      <c r="F560">
        <f t="shared" si="45"/>
        <v>8.4255689561772481E-5</v>
      </c>
      <c r="G560" s="1">
        <f t="shared" si="46"/>
        <v>9.1790898002891592E-3</v>
      </c>
      <c r="H560" s="1">
        <f t="shared" si="42"/>
        <v>1.5099602721475668E-2</v>
      </c>
      <c r="I560">
        <f t="shared" si="43"/>
        <v>15099.602721475667</v>
      </c>
      <c r="J560">
        <f t="shared" si="44"/>
        <v>33763.738118460416</v>
      </c>
    </row>
    <row r="561" spans="1:10" x14ac:dyDescent="0.45">
      <c r="A561">
        <v>-9.4329379862756468E-3</v>
      </c>
      <c r="B561">
        <f t="shared" si="41"/>
        <v>8.8980319052922054E-5</v>
      </c>
      <c r="F561">
        <f t="shared" si="45"/>
        <v>8.2896014744820274E-5</v>
      </c>
      <c r="G561" s="1">
        <f t="shared" si="46"/>
        <v>9.1047248582711311E-3</v>
      </c>
      <c r="H561" s="1">
        <f t="shared" si="42"/>
        <v>1.4977272391856011E-2</v>
      </c>
      <c r="I561">
        <f t="shared" si="43"/>
        <v>14977.272391856011</v>
      </c>
      <c r="J561">
        <f t="shared" si="44"/>
        <v>33490.199185720914</v>
      </c>
    </row>
    <row r="562" spans="1:10" x14ac:dyDescent="0.45">
      <c r="A562">
        <v>4.6952891352702864E-3</v>
      </c>
      <c r="B562">
        <f t="shared" si="41"/>
        <v>2.2045740063787192E-5</v>
      </c>
      <c r="F562">
        <f t="shared" si="45"/>
        <v>8.3066814246235155E-5</v>
      </c>
      <c r="G562" s="1">
        <f t="shared" si="46"/>
        <v>9.1140997496316194E-3</v>
      </c>
      <c r="H562" s="1">
        <f t="shared" si="42"/>
        <v>1.4992694088144014E-2</v>
      </c>
      <c r="I562">
        <f t="shared" si="43"/>
        <v>14992.694088144013</v>
      </c>
      <c r="J562">
        <f t="shared" si="44"/>
        <v>33524.683146949239</v>
      </c>
    </row>
    <row r="563" spans="1:10" x14ac:dyDescent="0.45">
      <c r="A563">
        <v>3.4755885280901566E-3</v>
      </c>
      <c r="B563">
        <f t="shared" si="41"/>
        <v>1.2079715616591901E-5</v>
      </c>
      <c r="F563">
        <f t="shared" si="45"/>
        <v>8.1212422043269657E-5</v>
      </c>
      <c r="G563" s="1">
        <f t="shared" si="46"/>
        <v>9.0117934975935642E-3</v>
      </c>
      <c r="H563" s="1">
        <f t="shared" si="42"/>
        <v>1.4824400303541414E-2</v>
      </c>
      <c r="I563">
        <f t="shared" si="43"/>
        <v>14824.400303541413</v>
      </c>
      <c r="J563">
        <f t="shared" si="44"/>
        <v>33148.366804387115</v>
      </c>
    </row>
    <row r="564" spans="1:10" x14ac:dyDescent="0.45">
      <c r="A564">
        <v>-1.8214086594525725E-2</v>
      </c>
      <c r="B564">
        <f t="shared" si="41"/>
        <v>3.3175295047288171E-4</v>
      </c>
      <c r="F564">
        <f t="shared" si="45"/>
        <v>7.9130142470112378E-5</v>
      </c>
      <c r="G564" s="1">
        <f t="shared" si="46"/>
        <v>8.8955124905826747E-3</v>
      </c>
      <c r="H564" s="1">
        <f t="shared" si="42"/>
        <v>1.46331180470085E-2</v>
      </c>
      <c r="I564">
        <f t="shared" si="43"/>
        <v>14633.1180470085</v>
      </c>
      <c r="J564">
        <f t="shared" si="44"/>
        <v>32720.64667588997</v>
      </c>
    </row>
    <row r="565" spans="1:10" x14ac:dyDescent="0.45">
      <c r="A565">
        <v>-1.3933231457485817E-3</v>
      </c>
      <c r="B565">
        <f t="shared" si="41"/>
        <v>1.9413493884787235E-6</v>
      </c>
      <c r="F565">
        <f t="shared" si="45"/>
        <v>8.670393478421271E-5</v>
      </c>
      <c r="G565" s="1">
        <f t="shared" si="46"/>
        <v>9.3114947663741239E-3</v>
      </c>
      <c r="H565" s="1">
        <f t="shared" si="42"/>
        <v>1.5317408890685434E-2</v>
      </c>
      <c r="I565">
        <f t="shared" si="43"/>
        <v>15317.408890685434</v>
      </c>
      <c r="J565">
        <f t="shared" si="44"/>
        <v>34250.767518732275</v>
      </c>
    </row>
    <row r="566" spans="1:10" x14ac:dyDescent="0.45">
      <c r="A566">
        <v>5.3426560953084845E-3</v>
      </c>
      <c r="B566">
        <f t="shared" si="41"/>
        <v>2.8543974152736902E-5</v>
      </c>
      <c r="F566">
        <f t="shared" si="45"/>
        <v>8.4160637852195413E-5</v>
      </c>
      <c r="G566" s="1">
        <f t="shared" si="46"/>
        <v>9.1739107174746044E-3</v>
      </c>
      <c r="H566" s="1">
        <f t="shared" si="42"/>
        <v>1.5091083130245724E-2</v>
      </c>
      <c r="I566">
        <f t="shared" si="43"/>
        <v>15091.083130245725</v>
      </c>
      <c r="J566">
        <f t="shared" si="44"/>
        <v>33744.687733329753</v>
      </c>
    </row>
    <row r="567" spans="1:10" x14ac:dyDescent="0.45">
      <c r="A567">
        <v>-1.7594902601558715E-2</v>
      </c>
      <c r="B567">
        <f t="shared" si="41"/>
        <v>3.0958059755833766E-4</v>
      </c>
      <c r="F567">
        <f t="shared" si="45"/>
        <v>8.2137692800753021E-5</v>
      </c>
      <c r="G567" s="1">
        <f t="shared" si="46"/>
        <v>9.0629847622487499E-3</v>
      </c>
      <c r="H567" s="1">
        <f t="shared" si="42"/>
        <v>1.4908609933899194E-2</v>
      </c>
      <c r="I567">
        <f t="shared" si="43"/>
        <v>14908.609933899193</v>
      </c>
      <c r="J567">
        <f t="shared" si="44"/>
        <v>33336.665262227245</v>
      </c>
    </row>
    <row r="568" spans="1:10" x14ac:dyDescent="0.45">
      <c r="A568">
        <v>-1.2513282854342833E-3</v>
      </c>
      <c r="B568">
        <f t="shared" si="41"/>
        <v>1.5658224779279032E-6</v>
      </c>
      <c r="F568">
        <f t="shared" si="45"/>
        <v>8.8946933758384157E-5</v>
      </c>
      <c r="G568" s="1">
        <f t="shared" si="46"/>
        <v>9.4311682075119488E-3</v>
      </c>
      <c r="H568" s="1">
        <f t="shared" si="42"/>
        <v>1.5514271701357156E-2</v>
      </c>
      <c r="I568">
        <f t="shared" si="43"/>
        <v>15514.271701357156</v>
      </c>
      <c r="J568">
        <f t="shared" si="44"/>
        <v>34690.966145635917</v>
      </c>
    </row>
    <row r="569" spans="1:10" x14ac:dyDescent="0.45">
      <c r="A569">
        <v>-8.5614374256692827E-3</v>
      </c>
      <c r="B569">
        <f t="shared" si="41"/>
        <v>7.3298210793650671E-5</v>
      </c>
      <c r="F569">
        <f t="shared" si="45"/>
        <v>8.6311489975550524E-5</v>
      </c>
      <c r="G569" s="1">
        <f t="shared" si="46"/>
        <v>9.2903977296750068E-3</v>
      </c>
      <c r="H569" s="1">
        <f t="shared" si="42"/>
        <v>1.5282704265315387E-2</v>
      </c>
      <c r="I569">
        <f t="shared" si="43"/>
        <v>15282.704265315388</v>
      </c>
      <c r="J569">
        <f t="shared" si="44"/>
        <v>34173.165617271188</v>
      </c>
    </row>
    <row r="570" spans="1:10" x14ac:dyDescent="0.45">
      <c r="A570">
        <v>9.1956735559506342E-3</v>
      </c>
      <c r="B570">
        <f t="shared" si="41"/>
        <v>8.4560412147609786E-5</v>
      </c>
      <c r="F570">
        <f t="shared" si="45"/>
        <v>8.5912346831502496E-5</v>
      </c>
      <c r="G570" s="1">
        <f t="shared" si="46"/>
        <v>9.2688913485649664E-3</v>
      </c>
      <c r="H570" s="1">
        <f t="shared" si="42"/>
        <v>1.524732626838937E-2</v>
      </c>
      <c r="I570">
        <f t="shared" si="43"/>
        <v>15247.32626838937</v>
      </c>
      <c r="J570">
        <f t="shared" si="44"/>
        <v>34094.058011236833</v>
      </c>
    </row>
    <row r="571" spans="1:10" x14ac:dyDescent="0.45">
      <c r="A571">
        <v>-9.1812353275599889E-4</v>
      </c>
      <c r="B571">
        <f t="shared" si="41"/>
        <v>8.4295082140035576E-7</v>
      </c>
      <c r="F571">
        <f t="shared" si="45"/>
        <v>8.5866017983472005E-5</v>
      </c>
      <c r="G571" s="1">
        <f t="shared" si="46"/>
        <v>9.2663918535464494E-3</v>
      </c>
      <c r="H571" s="1">
        <f t="shared" si="42"/>
        <v>1.5243214599083909E-2</v>
      </c>
      <c r="I571">
        <f t="shared" si="43"/>
        <v>15243.214599083909</v>
      </c>
      <c r="J571">
        <f t="shared" si="44"/>
        <v>34084.864039168824</v>
      </c>
    </row>
    <row r="572" spans="1:10" x14ac:dyDescent="0.45">
      <c r="A572">
        <v>-9.5989662440842949E-3</v>
      </c>
      <c r="B572">
        <f t="shared" si="41"/>
        <v>9.2140152955069761E-5</v>
      </c>
      <c r="F572">
        <f t="shared" si="45"/>
        <v>8.331526805452092E-5</v>
      </c>
      <c r="G572" s="1">
        <f t="shared" si="46"/>
        <v>9.1277197620501533E-3</v>
      </c>
      <c r="H572" s="1">
        <f t="shared" si="42"/>
        <v>1.5015099008572503E-2</v>
      </c>
      <c r="I572">
        <f t="shared" si="43"/>
        <v>15015.099008572502</v>
      </c>
      <c r="J572">
        <f t="shared" si="44"/>
        <v>33574.782072057817</v>
      </c>
    </row>
    <row r="573" spans="1:10" x14ac:dyDescent="0.45">
      <c r="A573">
        <v>-1.2726832210319117E-2</v>
      </c>
      <c r="B573">
        <f t="shared" si="41"/>
        <v>1.6197225810961617E-4</v>
      </c>
      <c r="F573">
        <f t="shared" si="45"/>
        <v>8.3403860510360302E-5</v>
      </c>
      <c r="G573" s="1">
        <f t="shared" si="46"/>
        <v>9.1325714073507407E-3</v>
      </c>
      <c r="H573" s="1">
        <f t="shared" si="42"/>
        <v>1.5023079965091968E-2</v>
      </c>
      <c r="I573">
        <f t="shared" si="43"/>
        <v>15023.079965091969</v>
      </c>
      <c r="J573">
        <f t="shared" si="44"/>
        <v>33592.628033360808</v>
      </c>
    </row>
    <row r="574" spans="1:10" x14ac:dyDescent="0.45">
      <c r="A574">
        <v>9.2565642262343317E-3</v>
      </c>
      <c r="B574">
        <f t="shared" si="41"/>
        <v>8.5683981274401198E-5</v>
      </c>
      <c r="F574">
        <f t="shared" si="45"/>
        <v>8.5707880482564718E-5</v>
      </c>
      <c r="G574" s="1">
        <f t="shared" si="46"/>
        <v>9.2578550692136406E-3</v>
      </c>
      <c r="H574" s="1">
        <f t="shared" si="42"/>
        <v>1.5229171588856439E-2</v>
      </c>
      <c r="I574">
        <f t="shared" si="43"/>
        <v>15229.171588856439</v>
      </c>
      <c r="J574">
        <f t="shared" si="44"/>
        <v>34053.462913691481</v>
      </c>
    </row>
    <row r="575" spans="1:10" x14ac:dyDescent="0.45">
      <c r="A575">
        <v>2.5926055968739092E-3</v>
      </c>
      <c r="B575">
        <f t="shared" si="41"/>
        <v>6.7216037809419192E-6</v>
      </c>
      <c r="F575">
        <f t="shared" si="45"/>
        <v>8.5700283699895617E-5</v>
      </c>
      <c r="G575" s="1">
        <f t="shared" si="46"/>
        <v>9.2574447716362654E-3</v>
      </c>
      <c r="H575" s="1">
        <f t="shared" si="42"/>
        <v>1.5228496649341656E-2</v>
      </c>
      <c r="I575">
        <f t="shared" si="43"/>
        <v>15228.496649341656</v>
      </c>
      <c r="J575">
        <f t="shared" si="44"/>
        <v>34051.953703055726</v>
      </c>
    </row>
    <row r="576" spans="1:10" x14ac:dyDescent="0.45">
      <c r="A576">
        <v>-1.9005142348760273E-3</v>
      </c>
      <c r="B576">
        <f t="shared" si="41"/>
        <v>3.6119543569664116E-6</v>
      </c>
      <c r="F576">
        <f t="shared" si="45"/>
        <v>8.3325727705613087E-5</v>
      </c>
      <c r="G576" s="1">
        <f t="shared" si="46"/>
        <v>9.1282927048607007E-3</v>
      </c>
      <c r="H576" s="1">
        <f t="shared" si="42"/>
        <v>1.5016041499495853E-2</v>
      </c>
      <c r="I576">
        <f t="shared" si="43"/>
        <v>15016.041499495854</v>
      </c>
      <c r="J576">
        <f t="shared" si="44"/>
        <v>33576.889545830607</v>
      </c>
    </row>
    <row r="577" spans="1:10" x14ac:dyDescent="0.45">
      <c r="A577">
        <v>-2.5818735593929887E-2</v>
      </c>
      <c r="B577">
        <f t="shared" si="41"/>
        <v>6.6660710766926201E-4</v>
      </c>
      <c r="F577">
        <f t="shared" si="45"/>
        <v>8.0926342536720116E-5</v>
      </c>
      <c r="G577" s="1">
        <f t="shared" si="46"/>
        <v>8.9959069879984935E-3</v>
      </c>
      <c r="H577" s="1">
        <f t="shared" si="42"/>
        <v>1.4798266995257521E-2</v>
      </c>
      <c r="I577">
        <f t="shared" si="43"/>
        <v>14798.266995257522</v>
      </c>
      <c r="J577">
        <f t="shared" si="44"/>
        <v>33089.930950587375</v>
      </c>
    </row>
    <row r="578" spans="1:10" x14ac:dyDescent="0.45">
      <c r="A578">
        <v>-1.8848459149012342E-2</v>
      </c>
      <c r="B578">
        <f t="shared" si="41"/>
        <v>3.5526441229198706E-4</v>
      </c>
      <c r="F578">
        <f t="shared" si="45"/>
        <v>9.8490376090474411E-5</v>
      </c>
      <c r="G578" s="1">
        <f t="shared" si="46"/>
        <v>9.9242317632386237E-3</v>
      </c>
      <c r="H578" s="1">
        <f t="shared" si="42"/>
        <v>1.6325361250527536E-2</v>
      </c>
      <c r="I578">
        <f t="shared" si="43"/>
        <v>16325.361250527536</v>
      </c>
      <c r="J578">
        <f t="shared" si="44"/>
        <v>36504.617513420548</v>
      </c>
    </row>
    <row r="579" spans="1:10" x14ac:dyDescent="0.45">
      <c r="A579">
        <v>-1.6347598830179777E-3</v>
      </c>
      <c r="B579">
        <f t="shared" ref="B579:B642" si="47">A579^2</f>
        <v>2.6724398751249521E-6</v>
      </c>
      <c r="F579">
        <f t="shared" si="45"/>
        <v>1.061642797583037E-4</v>
      </c>
      <c r="G579" s="1">
        <f t="shared" si="46"/>
        <v>1.0303605182570987E-2</v>
      </c>
      <c r="H579" s="1">
        <f t="shared" si="42"/>
        <v>1.6949430525329275E-2</v>
      </c>
      <c r="I579">
        <f t="shared" si="43"/>
        <v>16949.430525329273</v>
      </c>
      <c r="J579">
        <f t="shared" si="44"/>
        <v>37900.078834546228</v>
      </c>
    </row>
    <row r="580" spans="1:10" x14ac:dyDescent="0.45">
      <c r="A580">
        <v>1.6364356270059943E-2</v>
      </c>
      <c r="B580">
        <f t="shared" si="47"/>
        <v>2.6779215613345018E-4</v>
      </c>
      <c r="F580">
        <f t="shared" si="45"/>
        <v>1.0302533318918407E-4</v>
      </c>
      <c r="G580" s="1">
        <f t="shared" si="46"/>
        <v>1.0150139565010131E-2</v>
      </c>
      <c r="H580" s="1">
        <f t="shared" si="42"/>
        <v>1.6696979584441666E-2</v>
      </c>
      <c r="I580">
        <f t="shared" si="43"/>
        <v>16696.979584441666</v>
      </c>
      <c r="J580">
        <f t="shared" si="44"/>
        <v>37335.58136973776</v>
      </c>
    </row>
    <row r="581" spans="1:10" x14ac:dyDescent="0.45">
      <c r="A581">
        <v>-8.1162852438865229E-3</v>
      </c>
      <c r="B581">
        <f t="shared" si="47"/>
        <v>6.587408616013011E-5</v>
      </c>
      <c r="F581">
        <f t="shared" si="45"/>
        <v>1.0790389868450519E-4</v>
      </c>
      <c r="G581" s="1">
        <f t="shared" si="46"/>
        <v>1.0387680139689767E-2</v>
      </c>
      <c r="H581" s="1">
        <f t="shared" si="42"/>
        <v>1.7087733829789665E-2</v>
      </c>
      <c r="I581">
        <f t="shared" si="43"/>
        <v>17087.733829789664</v>
      </c>
      <c r="J581">
        <f t="shared" si="44"/>
        <v>38209.334424832508</v>
      </c>
    </row>
    <row r="582" spans="1:10" x14ac:dyDescent="0.45">
      <c r="A582">
        <v>1.2760096979036462E-3</v>
      </c>
      <c r="B582">
        <f t="shared" si="47"/>
        <v>1.6282007491441544E-6</v>
      </c>
      <c r="F582">
        <f t="shared" si="45"/>
        <v>1.0656441714083747E-4</v>
      </c>
      <c r="G582" s="1">
        <f t="shared" si="46"/>
        <v>1.0323004269147498E-2</v>
      </c>
      <c r="H582" s="1">
        <f t="shared" si="42"/>
        <v>1.6981342022747634E-2</v>
      </c>
      <c r="I582">
        <f t="shared" si="43"/>
        <v>16981.342022747634</v>
      </c>
      <c r="J582">
        <f t="shared" si="44"/>
        <v>37971.435112037492</v>
      </c>
    </row>
    <row r="583" spans="1:10" x14ac:dyDescent="0.45">
      <c r="A583">
        <v>-1.3538419807446189E-2</v>
      </c>
      <c r="B583">
        <f t="shared" si="47"/>
        <v>1.8328881088265132E-4</v>
      </c>
      <c r="F583">
        <f t="shared" si="45"/>
        <v>1.0341439771312893E-4</v>
      </c>
      <c r="G583" s="1">
        <f t="shared" si="46"/>
        <v>1.0169286981550325E-2</v>
      </c>
      <c r="H583" s="1">
        <f t="shared" si="42"/>
        <v>1.6728477084650285E-2</v>
      </c>
      <c r="I583">
        <f t="shared" si="43"/>
        <v>16728.477084650287</v>
      </c>
      <c r="J583">
        <f t="shared" si="44"/>
        <v>37406.011921325546</v>
      </c>
    </row>
    <row r="584" spans="1:10" x14ac:dyDescent="0.45">
      <c r="A584">
        <v>2.1994992494001053E-4</v>
      </c>
      <c r="B584">
        <f t="shared" si="47"/>
        <v>4.8377969481116267E-8</v>
      </c>
      <c r="F584">
        <f t="shared" si="45"/>
        <v>1.0579206925449055E-4</v>
      </c>
      <c r="G584" s="1">
        <f t="shared" si="46"/>
        <v>1.0285527174359637E-2</v>
      </c>
      <c r="H584" s="1">
        <f t="shared" si="42"/>
        <v>1.6919692201821605E-2</v>
      </c>
      <c r="I584">
        <f t="shared" si="43"/>
        <v>16919.692201821606</v>
      </c>
      <c r="J584">
        <f t="shared" si="44"/>
        <v>37833.581921646204</v>
      </c>
    </row>
    <row r="585" spans="1:10" x14ac:dyDescent="0.45">
      <c r="A585">
        <v>-5.7826810007099994E-4</v>
      </c>
      <c r="B585">
        <f t="shared" si="47"/>
        <v>3.3439399555972398E-7</v>
      </c>
      <c r="F585">
        <f t="shared" si="45"/>
        <v>1.0261973922372398E-4</v>
      </c>
      <c r="G585" s="1">
        <f t="shared" si="46"/>
        <v>1.0130140138404995E-2</v>
      </c>
      <c r="H585" s="1">
        <f t="shared" si="42"/>
        <v>1.6664080527676216E-2</v>
      </c>
      <c r="I585">
        <f t="shared" si="43"/>
        <v>16664.080527676215</v>
      </c>
      <c r="J585">
        <f t="shared" si="44"/>
        <v>37262.016842414581</v>
      </c>
    </row>
    <row r="586" spans="1:10" x14ac:dyDescent="0.45">
      <c r="A586">
        <v>-2.6068505576404277E-3</v>
      </c>
      <c r="B586">
        <f t="shared" si="47"/>
        <v>6.7956698298702092E-6</v>
      </c>
      <c r="F586">
        <f t="shared" si="45"/>
        <v>9.9455890395559979E-5</v>
      </c>
      <c r="G586" s="1">
        <f t="shared" si="46"/>
        <v>9.9727574118475375E-3</v>
      </c>
      <c r="H586" s="1">
        <f t="shared" si="42"/>
        <v>1.64051859424892E-2</v>
      </c>
      <c r="I586">
        <f t="shared" si="43"/>
        <v>16405.185942489199</v>
      </c>
      <c r="J586">
        <f t="shared" si="44"/>
        <v>36683.110950929804</v>
      </c>
    </row>
    <row r="587" spans="1:10" x14ac:dyDescent="0.45">
      <c r="A587">
        <v>-1.2206055544083938E-2</v>
      </c>
      <c r="B587">
        <f t="shared" si="47"/>
        <v>1.4898779194526225E-4</v>
      </c>
      <c r="F587">
        <f t="shared" si="45"/>
        <v>9.6674963262669163E-5</v>
      </c>
      <c r="G587" s="1">
        <f t="shared" si="46"/>
        <v>9.8323427148706097E-3</v>
      </c>
      <c r="H587" s="1">
        <f t="shared" si="42"/>
        <v>1.6174203765962153E-2</v>
      </c>
      <c r="I587">
        <f t="shared" si="43"/>
        <v>16174.203765962153</v>
      </c>
      <c r="J587">
        <f t="shared" si="44"/>
        <v>36166.619102624478</v>
      </c>
    </row>
    <row r="588" spans="1:10" x14ac:dyDescent="0.45">
      <c r="A588">
        <v>-8.4482962847687304E-3</v>
      </c>
      <c r="B588">
        <f t="shared" si="47"/>
        <v>7.137371011523713E-5</v>
      </c>
      <c r="F588">
        <f t="shared" si="45"/>
        <v>9.8240731935583507E-5</v>
      </c>
      <c r="G588" s="1">
        <f t="shared" si="46"/>
        <v>9.9116462777675586E-3</v>
      </c>
      <c r="H588" s="1">
        <f t="shared" si="42"/>
        <v>1.6304658126927635E-2</v>
      </c>
      <c r="I588">
        <f t="shared" si="43"/>
        <v>16304.658126927634</v>
      </c>
      <c r="J588">
        <f t="shared" si="44"/>
        <v>36458.323921704585</v>
      </c>
    </row>
    <row r="589" spans="1:10" x14ac:dyDescent="0.45">
      <c r="A589">
        <v>7.8615585152874701E-3</v>
      </c>
      <c r="B589">
        <f t="shared" si="47"/>
        <v>6.180410228928893E-5</v>
      </c>
      <c r="F589">
        <f t="shared" si="45"/>
        <v>9.7433931597985752E-5</v>
      </c>
      <c r="G589" s="1">
        <f t="shared" si="46"/>
        <v>9.870862758542728E-3</v>
      </c>
      <c r="H589" s="1">
        <f t="shared" si="42"/>
        <v>1.6237569237802788E-2</v>
      </c>
      <c r="I589">
        <f t="shared" si="43"/>
        <v>16237.569237802789</v>
      </c>
      <c r="J589">
        <f t="shared" si="44"/>
        <v>36308.308605086488</v>
      </c>
    </row>
    <row r="590" spans="1:10" x14ac:dyDescent="0.45">
      <c r="A590">
        <v>-3.4098434298357461E-3</v>
      </c>
      <c r="B590">
        <f t="shared" si="47"/>
        <v>1.1627032215994004E-5</v>
      </c>
      <c r="F590">
        <f t="shared" si="45"/>
        <v>9.6364878246875358E-5</v>
      </c>
      <c r="G590" s="1">
        <f t="shared" si="46"/>
        <v>9.8165614268375754E-3</v>
      </c>
      <c r="H590" s="1">
        <f t="shared" si="42"/>
        <v>1.6148243547147813E-2</v>
      </c>
      <c r="I590">
        <f t="shared" si="43"/>
        <v>16148.243547147813</v>
      </c>
      <c r="J590">
        <f t="shared" si="44"/>
        <v>36108.570288644842</v>
      </c>
    </row>
    <row r="591" spans="1:10" x14ac:dyDescent="0.45">
      <c r="A591">
        <v>-1.1519318832142744E-3</v>
      </c>
      <c r="B591">
        <f t="shared" si="47"/>
        <v>1.3269470635655848E-6</v>
      </c>
      <c r="F591">
        <f t="shared" si="45"/>
        <v>9.3822270956283788E-5</v>
      </c>
      <c r="G591" s="1">
        <f t="shared" si="46"/>
        <v>9.6861897026789528E-3</v>
      </c>
      <c r="H591" s="1">
        <f t="shared" si="42"/>
        <v>1.5933782060906877E-2</v>
      </c>
      <c r="I591">
        <f t="shared" si="43"/>
        <v>15933.782060906877</v>
      </c>
      <c r="J591">
        <f t="shared" si="44"/>
        <v>35629.01982685447</v>
      </c>
    </row>
    <row r="592" spans="1:10" x14ac:dyDescent="0.45">
      <c r="A592">
        <v>3.7204358704912011E-3</v>
      </c>
      <c r="B592">
        <f t="shared" si="47"/>
        <v>1.3841643066437621E-5</v>
      </c>
      <c r="F592">
        <f t="shared" si="45"/>
        <v>9.1035228154846929E-5</v>
      </c>
      <c r="G592" s="1">
        <f t="shared" si="46"/>
        <v>9.5412382925303216E-3</v>
      </c>
      <c r="H592" s="1">
        <f t="shared" si="42"/>
        <v>1.569533699121238E-2</v>
      </c>
      <c r="I592">
        <f t="shared" si="43"/>
        <v>15695.33699121238</v>
      </c>
      <c r="J592">
        <f t="shared" si="44"/>
        <v>35095.8404421179</v>
      </c>
    </row>
    <row r="593" spans="1:10" x14ac:dyDescent="0.45">
      <c r="A593">
        <v>-4.2421788748470135E-3</v>
      </c>
      <c r="B593">
        <f t="shared" si="47"/>
        <v>1.7996081606198275E-5</v>
      </c>
      <c r="F593">
        <f t="shared" si="45"/>
        <v>8.8646644270501984E-5</v>
      </c>
      <c r="G593" s="1">
        <f t="shared" si="46"/>
        <v>9.4152346901445836E-3</v>
      </c>
      <c r="H593" s="1">
        <f t="shared" si="42"/>
        <v>1.548806106528784E-2</v>
      </c>
      <c r="I593">
        <f t="shared" si="43"/>
        <v>15488.06106528784</v>
      </c>
      <c r="J593">
        <f t="shared" si="44"/>
        <v>34632.357381651418</v>
      </c>
    </row>
    <row r="594" spans="1:10" x14ac:dyDescent="0.45">
      <c r="A594">
        <v>-1.2813256944355089E-2</v>
      </c>
      <c r="B594">
        <f t="shared" si="47"/>
        <v>1.6417955352206391E-4</v>
      </c>
      <c r="F594">
        <f t="shared" si="45"/>
        <v>8.6370911959019912E-5</v>
      </c>
      <c r="G594" s="1">
        <f t="shared" si="46"/>
        <v>9.2935952117046677E-3</v>
      </c>
      <c r="H594" s="1">
        <f t="shared" si="42"/>
        <v>1.5287964123254179E-2</v>
      </c>
      <c r="I594">
        <f t="shared" si="43"/>
        <v>15287.964123254178</v>
      </c>
      <c r="J594">
        <f t="shared" si="44"/>
        <v>34184.927017174319</v>
      </c>
    </row>
    <row r="595" spans="1:10" x14ac:dyDescent="0.45">
      <c r="A595">
        <v>1.396169864165131E-2</v>
      </c>
      <c r="B595">
        <f t="shared" si="47"/>
        <v>1.9492902896028804E-4</v>
      </c>
      <c r="F595">
        <f t="shared" si="45"/>
        <v>8.8705098022896588E-5</v>
      </c>
      <c r="G595" s="1">
        <f t="shared" si="46"/>
        <v>9.4183383896999893E-3</v>
      </c>
      <c r="H595" s="1">
        <f t="shared" si="42"/>
        <v>1.5493166651056482E-2</v>
      </c>
      <c r="I595">
        <f t="shared" si="43"/>
        <v>15493.166651056483</v>
      </c>
      <c r="J595">
        <f t="shared" si="44"/>
        <v>34643.773818495058</v>
      </c>
    </row>
    <row r="596" spans="1:10" x14ac:dyDescent="0.45">
      <c r="A596">
        <v>7.2668058237468358E-3</v>
      </c>
      <c r="B596">
        <f t="shared" si="47"/>
        <v>5.280646688004093E-5</v>
      </c>
      <c r="F596">
        <f t="shared" si="45"/>
        <v>9.1891496567079656E-5</v>
      </c>
      <c r="G596" s="1">
        <f t="shared" si="46"/>
        <v>9.5860052455170111E-3</v>
      </c>
      <c r="H596" s="1">
        <f t="shared" si="42"/>
        <v>1.5768978628875482E-2</v>
      </c>
      <c r="I596">
        <f t="shared" si="43"/>
        <v>15768.978628875482</v>
      </c>
      <c r="J596">
        <f t="shared" si="44"/>
        <v>35260.508149907007</v>
      </c>
    </row>
    <row r="597" spans="1:10" x14ac:dyDescent="0.45">
      <c r="A597">
        <v>1.2735426935250871E-2</v>
      </c>
      <c r="B597">
        <f t="shared" si="47"/>
        <v>1.621910992231134E-4</v>
      </c>
      <c r="F597">
        <f t="shared" si="45"/>
        <v>9.068707472790768E-5</v>
      </c>
      <c r="G597" s="1">
        <f t="shared" si="46"/>
        <v>9.5229761486579217E-3</v>
      </c>
      <c r="H597" s="1">
        <f t="shared" si="42"/>
        <v>1.5665295764542283E-2</v>
      </c>
      <c r="I597">
        <f t="shared" si="43"/>
        <v>15665.295764542283</v>
      </c>
      <c r="J597">
        <f t="shared" si="44"/>
        <v>35028.666217156089</v>
      </c>
    </row>
    <row r="598" spans="1:10" x14ac:dyDescent="0.45">
      <c r="A598">
        <v>-7.7330014391918667E-3</v>
      </c>
      <c r="B598">
        <f t="shared" si="47"/>
        <v>5.9799311258543484E-5</v>
      </c>
      <c r="F598">
        <f t="shared" si="45"/>
        <v>9.2798176815928694E-5</v>
      </c>
      <c r="G598" s="1">
        <f t="shared" si="46"/>
        <v>9.6331810330715101E-3</v>
      </c>
      <c r="H598" s="1">
        <f t="shared" si="42"/>
        <v>1.5846582799402636E-2</v>
      </c>
      <c r="I598">
        <f t="shared" si="43"/>
        <v>15846.582799402635</v>
      </c>
      <c r="J598">
        <f t="shared" si="44"/>
        <v>35434.036350543211</v>
      </c>
    </row>
    <row r="599" spans="1:10" x14ac:dyDescent="0.45">
      <c r="A599">
        <v>-3.2771708902146202E-3</v>
      </c>
      <c r="B599">
        <f t="shared" si="47"/>
        <v>1.0739849043670085E-5</v>
      </c>
      <c r="F599">
        <f t="shared" si="45"/>
        <v>9.1764039940423579E-5</v>
      </c>
      <c r="G599" s="1">
        <f t="shared" si="46"/>
        <v>9.5793548812236617E-3</v>
      </c>
      <c r="H599" s="1">
        <f t="shared" si="42"/>
        <v>1.5758038779612925E-2</v>
      </c>
      <c r="I599">
        <f t="shared" si="43"/>
        <v>15758.038779612925</v>
      </c>
      <c r="J599">
        <f t="shared" si="44"/>
        <v>35236.045903292332</v>
      </c>
    </row>
    <row r="600" spans="1:10" x14ac:dyDescent="0.45">
      <c r="A600">
        <v>-6.3344259615405463E-3</v>
      </c>
      <c r="B600">
        <f t="shared" si="47"/>
        <v>4.0124952262238875E-5</v>
      </c>
      <c r="F600">
        <f t="shared" si="45"/>
        <v>8.9331107390768291E-5</v>
      </c>
      <c r="G600" s="1">
        <f t="shared" si="46"/>
        <v>9.451513497359473E-3</v>
      </c>
      <c r="H600" s="1">
        <f t="shared" si="42"/>
        <v>1.5547739703156333E-2</v>
      </c>
      <c r="I600">
        <f t="shared" si="43"/>
        <v>15547.739703156332</v>
      </c>
      <c r="J600">
        <f t="shared" si="44"/>
        <v>34765.802872729961</v>
      </c>
    </row>
    <row r="601" spans="1:10" x14ac:dyDescent="0.45">
      <c r="A601">
        <v>1.8473292584531009E-2</v>
      </c>
      <c r="B601">
        <f t="shared" si="47"/>
        <v>3.4126253891368836E-4</v>
      </c>
      <c r="F601">
        <f t="shared" si="45"/>
        <v>8.7835334916610059E-5</v>
      </c>
      <c r="G601" s="1">
        <f t="shared" si="46"/>
        <v>9.3720507316494006E-3</v>
      </c>
      <c r="H601" s="1">
        <f t="shared" si="42"/>
        <v>1.5417023453563264E-2</v>
      </c>
      <c r="I601">
        <f t="shared" si="43"/>
        <v>15417.023453563264</v>
      </c>
      <c r="J601">
        <f t="shared" si="44"/>
        <v>34473.512452876035</v>
      </c>
    </row>
    <row r="602" spans="1:10" x14ac:dyDescent="0.45">
      <c r="A602">
        <v>1.6635885913274251E-2</v>
      </c>
      <c r="B602">
        <f t="shared" si="47"/>
        <v>2.7675270011947667E-4</v>
      </c>
      <c r="F602">
        <f t="shared" si="45"/>
        <v>9.5434849272367324E-5</v>
      </c>
      <c r="G602" s="1">
        <f t="shared" si="46"/>
        <v>9.7690761729227662E-3</v>
      </c>
      <c r="H602" s="1">
        <f t="shared" ref="H602:H665" si="48">G602*$H$1</f>
        <v>1.607013030445795E-2</v>
      </c>
      <c r="I602">
        <f t="shared" ref="I602:I665" si="49">H602*$K$1</f>
        <v>16070.130304457951</v>
      </c>
      <c r="J602">
        <f t="shared" ref="J602:J665" si="50">I602*SQRT($K$2)</f>
        <v>35933.90376804737</v>
      </c>
    </row>
    <row r="603" spans="1:10" x14ac:dyDescent="0.45">
      <c r="A603">
        <v>-2.1032064978498966E-5</v>
      </c>
      <c r="B603">
        <f t="shared" si="47"/>
        <v>4.4234775725980269E-10</v>
      </c>
      <c r="F603">
        <f t="shared" ref="F603:F666" si="51">(1-$E$1)*SUMPRODUCT($E$2:$E$152,B452:B602)</f>
        <v>1.0086245472403379E-4</v>
      </c>
      <c r="G603" s="1">
        <f t="shared" ref="G603:G666" si="52">SQRT(F603)</f>
        <v>1.004303015648334E-2</v>
      </c>
      <c r="H603" s="1">
        <f t="shared" si="48"/>
        <v>1.6520784607415094E-2</v>
      </c>
      <c r="I603">
        <f t="shared" si="49"/>
        <v>16520.784607415095</v>
      </c>
      <c r="J603">
        <f t="shared" si="50"/>
        <v>36941.597423812331</v>
      </c>
    </row>
    <row r="604" spans="1:10" x14ac:dyDescent="0.45">
      <c r="A604">
        <v>-5.0395101425237954E-4</v>
      </c>
      <c r="B604">
        <f t="shared" si="47"/>
        <v>2.5396662476600204E-7</v>
      </c>
      <c r="F604">
        <f t="shared" si="51"/>
        <v>9.7783473767969119E-5</v>
      </c>
      <c r="G604" s="1">
        <f t="shared" si="52"/>
        <v>9.8885526629516989E-3</v>
      </c>
      <c r="H604" s="1">
        <f t="shared" si="48"/>
        <v>1.6266669130555547E-2</v>
      </c>
      <c r="I604">
        <f t="shared" si="49"/>
        <v>16266.669130555547</v>
      </c>
      <c r="J604">
        <f t="shared" si="50"/>
        <v>36373.377943419604</v>
      </c>
    </row>
    <row r="605" spans="1:10" x14ac:dyDescent="0.45">
      <c r="A605">
        <v>8.50088781589875E-3</v>
      </c>
      <c r="B605">
        <f t="shared" si="47"/>
        <v>7.2265093658495822E-5</v>
      </c>
      <c r="F605">
        <f t="shared" si="51"/>
        <v>9.4850960333328675E-5</v>
      </c>
      <c r="G605" s="1">
        <f t="shared" si="52"/>
        <v>9.739145770206372E-3</v>
      </c>
      <c r="H605" s="1">
        <f t="shared" si="48"/>
        <v>1.6020894791989482E-2</v>
      </c>
      <c r="I605">
        <f t="shared" si="49"/>
        <v>16020.894791989482</v>
      </c>
      <c r="J605">
        <f t="shared" si="50"/>
        <v>35823.809815260836</v>
      </c>
    </row>
    <row r="606" spans="1:10" x14ac:dyDescent="0.45">
      <c r="A606">
        <v>-1.0628491509123705E-2</v>
      </c>
      <c r="B606">
        <f t="shared" si="47"/>
        <v>1.129648317595147E-4</v>
      </c>
      <c r="F606">
        <f t="shared" si="51"/>
        <v>9.4163409299409767E-5</v>
      </c>
      <c r="G606" s="1">
        <f t="shared" si="52"/>
        <v>9.7037832467244331E-3</v>
      </c>
      <c r="H606" s="1">
        <f t="shared" si="48"/>
        <v>1.5962723440861692E-2</v>
      </c>
      <c r="I606">
        <f t="shared" si="49"/>
        <v>15962.723440861693</v>
      </c>
      <c r="J606">
        <f t="shared" si="50"/>
        <v>35693.734719796092</v>
      </c>
    </row>
    <row r="607" spans="1:10" x14ac:dyDescent="0.45">
      <c r="A607">
        <v>-2.9671241463802289E-3</v>
      </c>
      <c r="B607">
        <f t="shared" si="47"/>
        <v>8.8038257000326022E-6</v>
      </c>
      <c r="F607">
        <f t="shared" si="51"/>
        <v>9.4723933448668195E-5</v>
      </c>
      <c r="G607" s="1">
        <f t="shared" si="52"/>
        <v>9.7326221260597701E-3</v>
      </c>
      <c r="H607" s="1">
        <f t="shared" si="48"/>
        <v>1.6010163397368323E-2</v>
      </c>
      <c r="I607">
        <f t="shared" si="49"/>
        <v>16010.163397368324</v>
      </c>
      <c r="J607">
        <f t="shared" si="50"/>
        <v>35799.813687394548</v>
      </c>
    </row>
    <row r="608" spans="1:10" x14ac:dyDescent="0.45">
      <c r="A608">
        <v>8.419920050073415E-3</v>
      </c>
      <c r="B608">
        <f t="shared" si="47"/>
        <v>7.0895053649628297E-5</v>
      </c>
      <c r="F608">
        <f t="shared" si="51"/>
        <v>9.2117714454827926E-5</v>
      </c>
      <c r="G608" s="1">
        <f t="shared" si="52"/>
        <v>9.5977973751704051E-3</v>
      </c>
      <c r="H608" s="1">
        <f t="shared" si="48"/>
        <v>1.5788376682155318E-2</v>
      </c>
      <c r="I608">
        <f t="shared" si="49"/>
        <v>15788.376682155318</v>
      </c>
      <c r="J608">
        <f t="shared" si="50"/>
        <v>35303.883515671885</v>
      </c>
    </row>
    <row r="609" spans="1:10" x14ac:dyDescent="0.45">
      <c r="A609">
        <v>1.0950225259875879E-2</v>
      </c>
      <c r="B609">
        <f t="shared" si="47"/>
        <v>1.1990743324202376E-4</v>
      </c>
      <c r="F609">
        <f t="shared" si="51"/>
        <v>9.1395452980439469E-5</v>
      </c>
      <c r="G609" s="1">
        <f t="shared" si="52"/>
        <v>9.5600969127116846E-3</v>
      </c>
      <c r="H609" s="1">
        <f t="shared" si="48"/>
        <v>1.5726359421410721E-2</v>
      </c>
      <c r="I609">
        <f t="shared" si="49"/>
        <v>15726.359421410722</v>
      </c>
      <c r="J609">
        <f t="shared" si="50"/>
        <v>35165.208704868637</v>
      </c>
    </row>
    <row r="610" spans="1:10" x14ac:dyDescent="0.45">
      <c r="A610">
        <v>-1.4131978787190747E-2</v>
      </c>
      <c r="B610">
        <f t="shared" si="47"/>
        <v>1.9971282444160925E-4</v>
      </c>
      <c r="F610">
        <f t="shared" si="51"/>
        <v>9.2238963453397514E-5</v>
      </c>
      <c r="G610" s="1">
        <f t="shared" si="52"/>
        <v>9.6041117992970854E-3</v>
      </c>
      <c r="H610" s="1">
        <f t="shared" si="48"/>
        <v>1.5798763909843704E-2</v>
      </c>
      <c r="I610">
        <f t="shared" si="49"/>
        <v>15798.763909843705</v>
      </c>
      <c r="J610">
        <f t="shared" si="50"/>
        <v>35327.110062880885</v>
      </c>
    </row>
    <row r="611" spans="1:10" x14ac:dyDescent="0.45">
      <c r="A611">
        <v>4.7157982407952659E-3</v>
      </c>
      <c r="B611">
        <f t="shared" si="47"/>
        <v>2.2238753047887725E-5</v>
      </c>
      <c r="F611">
        <f t="shared" si="51"/>
        <v>9.5412753164146515E-5</v>
      </c>
      <c r="G611" s="1">
        <f t="shared" si="52"/>
        <v>9.7679451863811415E-3</v>
      </c>
      <c r="H611" s="1">
        <f t="shared" si="48"/>
        <v>1.6068269831596978E-2</v>
      </c>
      <c r="I611">
        <f t="shared" si="49"/>
        <v>16068.269831596979</v>
      </c>
      <c r="J611">
        <f t="shared" si="50"/>
        <v>35929.743624259943</v>
      </c>
    </row>
    <row r="612" spans="1:10" x14ac:dyDescent="0.45">
      <c r="A612">
        <v>-7.2957163865794428E-3</v>
      </c>
      <c r="B612">
        <f t="shared" si="47"/>
        <v>5.32274775934038E-5</v>
      </c>
      <c r="F612">
        <f t="shared" si="51"/>
        <v>9.3215373967398628E-5</v>
      </c>
      <c r="G612" s="1">
        <f t="shared" si="52"/>
        <v>9.6548109234411532E-3</v>
      </c>
      <c r="H612" s="1">
        <f t="shared" si="48"/>
        <v>1.5882163969060697E-2</v>
      </c>
      <c r="I612">
        <f t="shared" si="49"/>
        <v>15882.163969060697</v>
      </c>
      <c r="J612">
        <f t="shared" si="50"/>
        <v>35513.598264617591</v>
      </c>
    </row>
    <row r="613" spans="1:10" x14ac:dyDescent="0.45">
      <c r="A613">
        <v>4.6816239773761481E-3</v>
      </c>
      <c r="B613">
        <f t="shared" si="47"/>
        <v>2.1917603065543264E-5</v>
      </c>
      <c r="F613">
        <f t="shared" si="51"/>
        <v>9.2010159826506584E-5</v>
      </c>
      <c r="G613" s="1">
        <f t="shared" si="52"/>
        <v>9.5921926495721819E-3</v>
      </c>
      <c r="H613" s="1">
        <f t="shared" si="48"/>
        <v>1.5779156908546241E-2</v>
      </c>
      <c r="I613">
        <f t="shared" si="49"/>
        <v>15779.156908546242</v>
      </c>
      <c r="J613">
        <f t="shared" si="50"/>
        <v>35283.267475144828</v>
      </c>
    </row>
    <row r="614" spans="1:10" x14ac:dyDescent="0.45">
      <c r="A614">
        <v>2.6107954909093678E-2</v>
      </c>
      <c r="B614">
        <f t="shared" si="47"/>
        <v>6.8162530953526867E-4</v>
      </c>
      <c r="F614">
        <f t="shared" si="51"/>
        <v>8.9859343225904195E-5</v>
      </c>
      <c r="G614" s="1">
        <f t="shared" si="52"/>
        <v>9.4794168188715167E-3</v>
      </c>
      <c r="H614" s="1">
        <f t="shared" si="48"/>
        <v>1.5593640667043645E-2</v>
      </c>
      <c r="I614">
        <f t="shared" si="49"/>
        <v>15593.640667043644</v>
      </c>
      <c r="J614">
        <f t="shared" si="50"/>
        <v>34868.440548214756</v>
      </c>
    </row>
    <row r="615" spans="1:10" x14ac:dyDescent="0.45">
      <c r="A615">
        <v>4.9738787311071064E-3</v>
      </c>
      <c r="B615">
        <f t="shared" si="47"/>
        <v>2.473946963175964E-5</v>
      </c>
      <c r="F615">
        <f t="shared" si="51"/>
        <v>1.0750481017565788E-4</v>
      </c>
      <c r="G615" s="1">
        <f t="shared" si="52"/>
        <v>1.0368452641337466E-2</v>
      </c>
      <c r="H615" s="1">
        <f t="shared" si="48"/>
        <v>1.7056104595000132E-2</v>
      </c>
      <c r="I615">
        <f t="shared" si="49"/>
        <v>17056.104595000132</v>
      </c>
      <c r="J615">
        <f t="shared" si="50"/>
        <v>38138.609305766819</v>
      </c>
    </row>
    <row r="616" spans="1:10" x14ac:dyDescent="0.45">
      <c r="A616">
        <v>-4.0205577533924952E-3</v>
      </c>
      <c r="B616">
        <f t="shared" si="47"/>
        <v>1.6164884648364508E-5</v>
      </c>
      <c r="F616">
        <f t="shared" si="51"/>
        <v>1.0500845623543177E-4</v>
      </c>
      <c r="G616" s="1">
        <f t="shared" si="52"/>
        <v>1.0247363379690981E-2</v>
      </c>
      <c r="H616" s="1">
        <f t="shared" si="48"/>
        <v>1.6856912759591662E-2</v>
      </c>
      <c r="I616">
        <f t="shared" si="49"/>
        <v>16856.912759591662</v>
      </c>
      <c r="J616">
        <f t="shared" si="50"/>
        <v>37693.20282123053</v>
      </c>
    </row>
    <row r="617" spans="1:10" x14ac:dyDescent="0.45">
      <c r="A617">
        <v>4.7757339416421019E-3</v>
      </c>
      <c r="B617">
        <f t="shared" si="47"/>
        <v>2.2807634681352406E-5</v>
      </c>
      <c r="F617">
        <f t="shared" si="51"/>
        <v>1.0221417626597329E-4</v>
      </c>
      <c r="G617" s="1">
        <f t="shared" si="52"/>
        <v>1.011010268325566E-2</v>
      </c>
      <c r="H617" s="1">
        <f t="shared" si="48"/>
        <v>1.6631118913955561E-2</v>
      </c>
      <c r="I617">
        <f t="shared" si="49"/>
        <v>16631.118913955561</v>
      </c>
      <c r="J617">
        <f t="shared" si="50"/>
        <v>37188.31243348711</v>
      </c>
    </row>
    <row r="618" spans="1:10" x14ac:dyDescent="0.45">
      <c r="A618">
        <v>5.8372620515001472E-3</v>
      </c>
      <c r="B618">
        <f t="shared" si="47"/>
        <v>3.4073628257883709E-5</v>
      </c>
      <c r="F618">
        <f t="shared" si="51"/>
        <v>9.9598125328996222E-5</v>
      </c>
      <c r="G618" s="1">
        <f t="shared" si="52"/>
        <v>9.9798860378761955E-3</v>
      </c>
      <c r="H618" s="1">
        <f t="shared" si="48"/>
        <v>1.641691253230634E-2</v>
      </c>
      <c r="I618">
        <f t="shared" si="49"/>
        <v>16416.912532306342</v>
      </c>
      <c r="J618">
        <f t="shared" si="50"/>
        <v>36709.332402905195</v>
      </c>
    </row>
    <row r="619" spans="1:10" x14ac:dyDescent="0.45">
      <c r="A619">
        <v>-1.4138231563265435E-2</v>
      </c>
      <c r="B619">
        <f t="shared" si="47"/>
        <v>1.9988959173651501E-4</v>
      </c>
      <c r="F619">
        <f t="shared" si="51"/>
        <v>9.7626657323077455E-5</v>
      </c>
      <c r="G619" s="1">
        <f t="shared" si="52"/>
        <v>9.8806202904006719E-3</v>
      </c>
      <c r="H619" s="1">
        <f t="shared" si="48"/>
        <v>1.6253620377709107E-2</v>
      </c>
      <c r="I619">
        <f t="shared" si="49"/>
        <v>16253.620377709107</v>
      </c>
      <c r="J619">
        <f t="shared" si="50"/>
        <v>36344.200045033373</v>
      </c>
    </row>
    <row r="620" spans="1:10" x14ac:dyDescent="0.45">
      <c r="A620">
        <v>-8.8316483015660197E-3</v>
      </c>
      <c r="B620">
        <f t="shared" si="47"/>
        <v>7.7998011722553966E-5</v>
      </c>
      <c r="F620">
        <f t="shared" si="51"/>
        <v>1.006916961286113E-4</v>
      </c>
      <c r="G620" s="1">
        <f t="shared" si="52"/>
        <v>1.0034525206934871E-2</v>
      </c>
      <c r="H620" s="1">
        <f t="shared" si="48"/>
        <v>1.6506793965407864E-2</v>
      </c>
      <c r="I620">
        <f t="shared" si="49"/>
        <v>16506.793965407862</v>
      </c>
      <c r="J620">
        <f t="shared" si="50"/>
        <v>36910.313397235295</v>
      </c>
    </row>
    <row r="621" spans="1:10" x14ac:dyDescent="0.45">
      <c r="A621">
        <v>-1.8857554096030071E-2</v>
      </c>
      <c r="B621">
        <f t="shared" si="47"/>
        <v>3.5560734648470055E-4</v>
      </c>
      <c r="F621">
        <f t="shared" si="51"/>
        <v>9.9957229670901673E-5</v>
      </c>
      <c r="G621" s="1">
        <f t="shared" si="52"/>
        <v>9.9978612548335399E-3</v>
      </c>
      <c r="H621" s="1">
        <f t="shared" si="48"/>
        <v>1.6446481764201173E-2</v>
      </c>
      <c r="I621">
        <f t="shared" si="49"/>
        <v>16446.481764201173</v>
      </c>
      <c r="J621">
        <f t="shared" si="50"/>
        <v>36775.451215464491</v>
      </c>
    </row>
    <row r="622" spans="1:10" x14ac:dyDescent="0.45">
      <c r="A622">
        <v>-4.7860226004559081E-3</v>
      </c>
      <c r="B622">
        <f t="shared" si="47"/>
        <v>2.2906012332074734E-5</v>
      </c>
      <c r="F622">
        <f t="shared" si="51"/>
        <v>1.0762078983195422E-4</v>
      </c>
      <c r="G622" s="1">
        <f t="shared" si="52"/>
        <v>1.0374044044245918E-2</v>
      </c>
      <c r="H622" s="1">
        <f t="shared" si="48"/>
        <v>1.7065302452784537E-2</v>
      </c>
      <c r="I622">
        <f t="shared" si="49"/>
        <v>17065.302452784537</v>
      </c>
      <c r="J622">
        <f t="shared" si="50"/>
        <v>38159.176341020124</v>
      </c>
    </row>
    <row r="623" spans="1:10" x14ac:dyDescent="0.45">
      <c r="A623">
        <v>1.5657974472560454E-3</v>
      </c>
      <c r="B623">
        <f t="shared" si="47"/>
        <v>2.4517216458335484E-6</v>
      </c>
      <c r="F623">
        <f t="shared" si="51"/>
        <v>1.0507857487793727E-4</v>
      </c>
      <c r="G623" s="1">
        <f t="shared" si="52"/>
        <v>1.025078411039552E-2</v>
      </c>
      <c r="H623" s="1">
        <f t="shared" si="48"/>
        <v>1.686253986160063E-2</v>
      </c>
      <c r="I623">
        <f t="shared" si="49"/>
        <v>16862.539861600631</v>
      </c>
      <c r="J623">
        <f t="shared" si="50"/>
        <v>37705.785403838912</v>
      </c>
    </row>
    <row r="624" spans="1:10" x14ac:dyDescent="0.45">
      <c r="A624">
        <v>-2.4362634576391429E-3</v>
      </c>
      <c r="B624">
        <f t="shared" si="47"/>
        <v>5.9353796350278317E-6</v>
      </c>
      <c r="F624">
        <f t="shared" si="51"/>
        <v>1.0199306349929925E-4</v>
      </c>
      <c r="G624" s="1">
        <f t="shared" si="52"/>
        <v>1.0099161524567237E-2</v>
      </c>
      <c r="H624" s="1">
        <f t="shared" si="48"/>
        <v>1.6613120707913105E-2</v>
      </c>
      <c r="I624">
        <f t="shared" si="49"/>
        <v>16613.120707913105</v>
      </c>
      <c r="J624">
        <f t="shared" si="50"/>
        <v>37148.067221303136</v>
      </c>
    </row>
    <row r="625" spans="1:10" x14ac:dyDescent="0.45">
      <c r="A625">
        <v>1.6596368368482217E-2</v>
      </c>
      <c r="B625">
        <f t="shared" si="47"/>
        <v>2.7543944302235707E-4</v>
      </c>
      <c r="F625">
        <f t="shared" si="51"/>
        <v>9.9106531276089199E-5</v>
      </c>
      <c r="G625" s="1">
        <f t="shared" si="52"/>
        <v>9.9552263297269742E-3</v>
      </c>
      <c r="H625" s="1">
        <f t="shared" si="48"/>
        <v>1.6376347312400872E-2</v>
      </c>
      <c r="I625">
        <f t="shared" si="49"/>
        <v>16376.347312400872</v>
      </c>
      <c r="J625">
        <f t="shared" si="50"/>
        <v>36618.625813674334</v>
      </c>
    </row>
    <row r="626" spans="1:10" x14ac:dyDescent="0.45">
      <c r="A626">
        <v>-1.0149506124434993E-2</v>
      </c>
      <c r="B626">
        <f t="shared" si="47"/>
        <v>1.0301247456994342E-4</v>
      </c>
      <c r="F626">
        <f t="shared" si="51"/>
        <v>1.0435609100013569E-4</v>
      </c>
      <c r="G626" s="1">
        <f t="shared" si="52"/>
        <v>1.0215482905870661E-2</v>
      </c>
      <c r="H626" s="1">
        <f t="shared" si="48"/>
        <v>1.6804469380157238E-2</v>
      </c>
      <c r="I626">
        <f t="shared" si="49"/>
        <v>16804.469380157239</v>
      </c>
      <c r="J626">
        <f t="shared" si="50"/>
        <v>37575.935859845347</v>
      </c>
    </row>
    <row r="627" spans="1:10" x14ac:dyDescent="0.45">
      <c r="A627">
        <v>-4.8978336053551175E-3</v>
      </c>
      <c r="B627">
        <f t="shared" si="47"/>
        <v>2.3988774025745907E-5</v>
      </c>
      <c r="F627">
        <f t="shared" si="51"/>
        <v>1.0431577392057053E-4</v>
      </c>
      <c r="G627" s="1">
        <f t="shared" si="52"/>
        <v>1.0213509383192954E-2</v>
      </c>
      <c r="H627" s="1">
        <f t="shared" si="48"/>
        <v>1.6801222935352408E-2</v>
      </c>
      <c r="I627">
        <f t="shared" si="49"/>
        <v>16801.222935352409</v>
      </c>
      <c r="J627">
        <f t="shared" si="50"/>
        <v>37568.676588576542</v>
      </c>
    </row>
    <row r="628" spans="1:10" x14ac:dyDescent="0.45">
      <c r="A628">
        <v>-1.2092436918464955E-2</v>
      </c>
      <c r="B628">
        <f t="shared" si="47"/>
        <v>1.4622703062705422E-4</v>
      </c>
      <c r="F628">
        <f t="shared" si="51"/>
        <v>1.0190323667646547E-4</v>
      </c>
      <c r="G628" s="1">
        <f t="shared" si="52"/>
        <v>1.0094713303331872E-2</v>
      </c>
      <c r="H628" s="1">
        <f t="shared" si="48"/>
        <v>1.6605803383980929E-2</v>
      </c>
      <c r="I628">
        <f t="shared" si="49"/>
        <v>16605.803383980929</v>
      </c>
      <c r="J628">
        <f t="shared" si="50"/>
        <v>37131.705187577398</v>
      </c>
    </row>
    <row r="629" spans="1:10" x14ac:dyDescent="0.45">
      <c r="A629">
        <v>4.2832198232645169E-3</v>
      </c>
      <c r="B629">
        <f t="shared" si="47"/>
        <v>1.8345972054406119E-5</v>
      </c>
      <c r="F629">
        <f t="shared" si="51"/>
        <v>1.0319077793841547E-4</v>
      </c>
      <c r="G629" s="1">
        <f t="shared" si="52"/>
        <v>1.0158286171319229E-2</v>
      </c>
      <c r="H629" s="1">
        <f t="shared" si="48"/>
        <v>1.6710380751820131E-2</v>
      </c>
      <c r="I629">
        <f t="shared" si="49"/>
        <v>16710.380751820132</v>
      </c>
      <c r="J629">
        <f t="shared" si="50"/>
        <v>37365.54729097386</v>
      </c>
    </row>
    <row r="630" spans="1:10" x14ac:dyDescent="0.45">
      <c r="A630">
        <v>-4.6313289203681052E-3</v>
      </c>
      <c r="B630">
        <f t="shared" si="47"/>
        <v>2.1449207568637999E-5</v>
      </c>
      <c r="F630">
        <f t="shared" si="51"/>
        <v>1.006303465293685E-4</v>
      </c>
      <c r="G630" s="1">
        <f t="shared" si="52"/>
        <v>1.0031467815298442E-2</v>
      </c>
      <c r="H630" s="1">
        <f t="shared" si="48"/>
        <v>1.6501764556165938E-2</v>
      </c>
      <c r="I630">
        <f t="shared" si="49"/>
        <v>16501.764556165937</v>
      </c>
      <c r="J630">
        <f t="shared" si="50"/>
        <v>36899.067296283683</v>
      </c>
    </row>
    <row r="631" spans="1:10" x14ac:dyDescent="0.45">
      <c r="A631">
        <v>-3.303819084976567E-3</v>
      </c>
      <c r="B631">
        <f t="shared" si="47"/>
        <v>1.09152205462554E-5</v>
      </c>
      <c r="F631">
        <f t="shared" si="51"/>
        <v>9.815515616139844E-5</v>
      </c>
      <c r="G631" s="1">
        <f t="shared" si="52"/>
        <v>9.9073284068611784E-3</v>
      </c>
      <c r="H631" s="1">
        <f t="shared" si="48"/>
        <v>1.629755522928664E-2</v>
      </c>
      <c r="I631">
        <f t="shared" si="49"/>
        <v>16297.55522928664</v>
      </c>
      <c r="J631">
        <f t="shared" si="50"/>
        <v>36442.441359742101</v>
      </c>
    </row>
    <row r="632" spans="1:10" x14ac:dyDescent="0.45">
      <c r="A632">
        <v>8.5857436715741642E-3</v>
      </c>
      <c r="B632">
        <f t="shared" si="47"/>
        <v>7.3714994393975805E-5</v>
      </c>
      <c r="F632">
        <f t="shared" si="51"/>
        <v>9.5519647041576004E-5</v>
      </c>
      <c r="G632" s="1">
        <f t="shared" si="52"/>
        <v>9.7734153212465091E-3</v>
      </c>
      <c r="H632" s="1">
        <f t="shared" si="48"/>
        <v>1.6077268203450509E-2</v>
      </c>
      <c r="I632">
        <f t="shared" si="49"/>
        <v>16077.268203450509</v>
      </c>
      <c r="J632">
        <f t="shared" si="50"/>
        <v>35949.864595411258</v>
      </c>
    </row>
    <row r="633" spans="1:10" x14ac:dyDescent="0.45">
      <c r="A633">
        <v>-3.3588094083825126E-3</v>
      </c>
      <c r="B633">
        <f t="shared" si="47"/>
        <v>1.1281600641838884E-5</v>
      </c>
      <c r="F633">
        <f t="shared" si="51"/>
        <v>9.4798141367778631E-5</v>
      </c>
      <c r="G633" s="1">
        <f t="shared" si="52"/>
        <v>9.7364337088986872E-3</v>
      </c>
      <c r="H633" s="1">
        <f t="shared" si="48"/>
        <v>1.6016433451138342E-2</v>
      </c>
      <c r="I633">
        <f t="shared" si="49"/>
        <v>16016.433451138342</v>
      </c>
      <c r="J633">
        <f t="shared" si="50"/>
        <v>35813.833953846894</v>
      </c>
    </row>
    <row r="634" spans="1:10" x14ac:dyDescent="0.45">
      <c r="A634">
        <v>6.8023837229702622E-3</v>
      </c>
      <c r="B634">
        <f t="shared" si="47"/>
        <v>4.6272424314530764E-5</v>
      </c>
      <c r="F634">
        <f t="shared" si="51"/>
        <v>9.2291084411956376E-5</v>
      </c>
      <c r="G634" s="1">
        <f t="shared" si="52"/>
        <v>9.6068248871287523E-3</v>
      </c>
      <c r="H634" s="1">
        <f t="shared" si="48"/>
        <v>1.5803226939326797E-2</v>
      </c>
      <c r="I634">
        <f t="shared" si="49"/>
        <v>15803.226939326796</v>
      </c>
      <c r="J634">
        <f t="shared" si="50"/>
        <v>35337.089700190663</v>
      </c>
    </row>
    <row r="635" spans="1:10" x14ac:dyDescent="0.45">
      <c r="A635">
        <v>1.069872723746812E-2</v>
      </c>
      <c r="B635">
        <f t="shared" si="47"/>
        <v>1.1446276450174223E-4</v>
      </c>
      <c r="F635">
        <f t="shared" si="51"/>
        <v>9.0845213000092785E-5</v>
      </c>
      <c r="G635" s="1">
        <f t="shared" si="52"/>
        <v>9.5312755180034948E-3</v>
      </c>
      <c r="H635" s="1">
        <f t="shared" si="48"/>
        <v>1.5678948227115748E-2</v>
      </c>
      <c r="I635">
        <f t="shared" si="49"/>
        <v>15678.948227115749</v>
      </c>
      <c r="J635">
        <f t="shared" si="50"/>
        <v>35059.194051530627</v>
      </c>
    </row>
    <row r="636" spans="1:10" x14ac:dyDescent="0.45">
      <c r="A636">
        <v>9.65490016824333E-3</v>
      </c>
      <c r="B636">
        <f t="shared" si="47"/>
        <v>9.3217097258745083E-5</v>
      </c>
      <c r="F636">
        <f t="shared" si="51"/>
        <v>9.1548050597318515E-5</v>
      </c>
      <c r="G636" s="1">
        <f t="shared" si="52"/>
        <v>9.5680745501547232E-3</v>
      </c>
      <c r="H636" s="1">
        <f t="shared" si="48"/>
        <v>1.573948263500452E-2</v>
      </c>
      <c r="I636">
        <f t="shared" si="49"/>
        <v>15739.48263500452</v>
      </c>
      <c r="J636">
        <f t="shared" si="50"/>
        <v>35194.553102547623</v>
      </c>
    </row>
    <row r="637" spans="1:10" x14ac:dyDescent="0.45">
      <c r="A637">
        <v>-3.875834408972878E-3</v>
      </c>
      <c r="B637">
        <f t="shared" si="47"/>
        <v>1.5022092365778139E-5</v>
      </c>
      <c r="F637">
        <f t="shared" si="51"/>
        <v>9.1588915660448049E-5</v>
      </c>
      <c r="G637" s="1">
        <f t="shared" si="52"/>
        <v>9.5702098023213705E-3</v>
      </c>
      <c r="H637" s="1">
        <f t="shared" si="48"/>
        <v>1.5742995124818655E-2</v>
      </c>
      <c r="I637">
        <f t="shared" si="49"/>
        <v>15742.995124818655</v>
      </c>
      <c r="J637">
        <f t="shared" si="50"/>
        <v>35202.407268542302</v>
      </c>
    </row>
    <row r="638" spans="1:10" x14ac:dyDescent="0.45">
      <c r="A638">
        <v>-2.1688902052119374E-2</v>
      </c>
      <c r="B638">
        <f t="shared" si="47"/>
        <v>4.70408472226428E-4</v>
      </c>
      <c r="F638">
        <f t="shared" si="51"/>
        <v>8.9253184400681784E-5</v>
      </c>
      <c r="G638" s="1">
        <f t="shared" si="52"/>
        <v>9.447390348698511E-3</v>
      </c>
      <c r="H638" s="1">
        <f t="shared" si="48"/>
        <v>1.5540957123609051E-2</v>
      </c>
      <c r="I638">
        <f t="shared" si="49"/>
        <v>15540.957123609051</v>
      </c>
      <c r="J638">
        <f t="shared" si="50"/>
        <v>34750.636563799439</v>
      </c>
    </row>
    <row r="639" spans="1:10" x14ac:dyDescent="0.45">
      <c r="A639">
        <v>-6.7110818235960323E-3</v>
      </c>
      <c r="B639">
        <f t="shared" si="47"/>
        <v>4.5038619243001045E-5</v>
      </c>
      <c r="F639">
        <f t="shared" si="51"/>
        <v>1.0068250645209362E-4</v>
      </c>
      <c r="G639" s="1">
        <f t="shared" si="52"/>
        <v>1.0034067293580088E-2</v>
      </c>
      <c r="H639" s="1">
        <f t="shared" si="48"/>
        <v>1.6506040697939244E-2</v>
      </c>
      <c r="I639">
        <f t="shared" si="49"/>
        <v>16506.040697939243</v>
      </c>
      <c r="J639">
        <f t="shared" si="50"/>
        <v>36908.629039970219</v>
      </c>
    </row>
    <row r="640" spans="1:10" x14ac:dyDescent="0.45">
      <c r="A640">
        <v>5.4328666010405868E-3</v>
      </c>
      <c r="B640">
        <f t="shared" si="47"/>
        <v>2.9516039504702298E-5</v>
      </c>
      <c r="F640">
        <f t="shared" si="51"/>
        <v>9.9012778643285719E-5</v>
      </c>
      <c r="G640" s="1">
        <f t="shared" si="52"/>
        <v>9.9505165013322652E-3</v>
      </c>
      <c r="H640" s="1">
        <f t="shared" si="48"/>
        <v>1.6368599644691575E-2</v>
      </c>
      <c r="I640">
        <f t="shared" si="49"/>
        <v>16368.599644691576</v>
      </c>
      <c r="J640">
        <f t="shared" si="50"/>
        <v>36601.301502009272</v>
      </c>
    </row>
    <row r="641" spans="1:10" x14ac:dyDescent="0.45">
      <c r="A641">
        <v>6.9214593167998828E-3</v>
      </c>
      <c r="B641">
        <f t="shared" si="47"/>
        <v>4.7906599074115902E-5</v>
      </c>
      <c r="F641">
        <f t="shared" si="51"/>
        <v>9.6923752901950685E-5</v>
      </c>
      <c r="G641" s="1">
        <f t="shared" si="52"/>
        <v>9.8449861808918085E-3</v>
      </c>
      <c r="H641" s="1">
        <f t="shared" si="48"/>
        <v>1.6195002267567024E-2</v>
      </c>
      <c r="I641">
        <f t="shared" si="49"/>
        <v>16195.002267567024</v>
      </c>
      <c r="J641">
        <f t="shared" si="50"/>
        <v>36213.125966043102</v>
      </c>
    </row>
    <row r="642" spans="1:10" x14ac:dyDescent="0.45">
      <c r="A642">
        <v>-1.0584176379779819E-2</v>
      </c>
      <c r="B642">
        <f t="shared" si="47"/>
        <v>1.1202478963828904E-4</v>
      </c>
      <c r="F642">
        <f t="shared" si="51"/>
        <v>9.544833223443095E-5</v>
      </c>
      <c r="G642" s="1">
        <f t="shared" si="52"/>
        <v>9.7697662323328362E-3</v>
      </c>
      <c r="H642" s="1">
        <f t="shared" si="48"/>
        <v>1.6071265452187514E-2</v>
      </c>
      <c r="I642">
        <f t="shared" si="49"/>
        <v>16071.265452187514</v>
      </c>
      <c r="J642">
        <f t="shared" si="50"/>
        <v>35936.442035535176</v>
      </c>
    </row>
    <row r="643" spans="1:10" x14ac:dyDescent="0.45">
      <c r="A643">
        <v>4.7638195610488765E-4</v>
      </c>
      <c r="B643">
        <f t="shared" ref="B643:B706" si="53">A643^2</f>
        <v>2.2693976810231909E-7</v>
      </c>
      <c r="F643">
        <f t="shared" si="51"/>
        <v>9.5931583703281212E-5</v>
      </c>
      <c r="G643" s="1">
        <f t="shared" si="52"/>
        <v>9.7944669943433472E-3</v>
      </c>
      <c r="H643" s="1">
        <f t="shared" si="48"/>
        <v>1.6111898205694808E-2</v>
      </c>
      <c r="I643">
        <f t="shared" si="49"/>
        <v>16111.898205694808</v>
      </c>
      <c r="J643">
        <f t="shared" si="50"/>
        <v>36027.299634490482</v>
      </c>
    </row>
    <row r="644" spans="1:10" x14ac:dyDescent="0.45">
      <c r="A644">
        <v>8.95661287358962E-3</v>
      </c>
      <c r="B644">
        <f t="shared" si="53"/>
        <v>8.0220914167351316E-5</v>
      </c>
      <c r="F644">
        <f t="shared" si="51"/>
        <v>9.300758892063284E-5</v>
      </c>
      <c r="G644" s="1">
        <f t="shared" si="52"/>
        <v>9.6440442201719944E-3</v>
      </c>
      <c r="H644" s="1">
        <f t="shared" si="48"/>
        <v>1.5864452742182931E-2</v>
      </c>
      <c r="I644">
        <f t="shared" si="49"/>
        <v>15864.452742182932</v>
      </c>
      <c r="J644">
        <f t="shared" si="50"/>
        <v>35473.994757353983</v>
      </c>
    </row>
    <row r="645" spans="1:10" x14ac:dyDescent="0.45">
      <c r="A645">
        <v>-1.7470392776886001E-2</v>
      </c>
      <c r="B645">
        <f t="shared" si="53"/>
        <v>3.0521462377867058E-4</v>
      </c>
      <c r="F645">
        <f t="shared" si="51"/>
        <v>9.2570912508004234E-5</v>
      </c>
      <c r="G645" s="1">
        <f t="shared" si="52"/>
        <v>9.6213778903026272E-3</v>
      </c>
      <c r="H645" s="1">
        <f t="shared" si="48"/>
        <v>1.582716662954782E-2</v>
      </c>
      <c r="I645">
        <f t="shared" si="49"/>
        <v>15827.166629547821</v>
      </c>
      <c r="J645">
        <f t="shared" si="50"/>
        <v>35390.62047488516</v>
      </c>
    </row>
    <row r="646" spans="1:10" x14ac:dyDescent="0.45">
      <c r="A646">
        <v>-1.8934997569886036E-3</v>
      </c>
      <c r="B646">
        <f t="shared" si="53"/>
        <v>3.5853413297159009E-6</v>
      </c>
      <c r="F646">
        <f t="shared" si="51"/>
        <v>9.8920421708707215E-5</v>
      </c>
      <c r="G646" s="1">
        <f t="shared" si="52"/>
        <v>9.9458746075298584E-3</v>
      </c>
      <c r="H646" s="1">
        <f t="shared" si="48"/>
        <v>1.6360963729386616E-2</v>
      </c>
      <c r="I646">
        <f t="shared" si="49"/>
        <v>16360.963729386616</v>
      </c>
      <c r="J646">
        <f t="shared" si="50"/>
        <v>36584.227076316951</v>
      </c>
    </row>
    <row r="647" spans="1:10" x14ac:dyDescent="0.45">
      <c r="A647">
        <v>-2.8521981221274473E-3</v>
      </c>
      <c r="B647">
        <f t="shared" si="53"/>
        <v>8.135034127867337E-6</v>
      </c>
      <c r="F647">
        <f t="shared" si="51"/>
        <v>9.6021761722449379E-5</v>
      </c>
      <c r="G647" s="1">
        <f t="shared" si="52"/>
        <v>9.7990694314536511E-3</v>
      </c>
      <c r="H647" s="1">
        <f t="shared" si="48"/>
        <v>1.6119469214741257E-2</v>
      </c>
      <c r="I647">
        <f t="shared" si="49"/>
        <v>16119.469214741257</v>
      </c>
      <c r="J647">
        <f t="shared" si="50"/>
        <v>36044.228925376607</v>
      </c>
    </row>
    <row r="648" spans="1:10" x14ac:dyDescent="0.45">
      <c r="A648">
        <v>6.7053406382910907E-3</v>
      </c>
      <c r="B648">
        <f t="shared" si="53"/>
        <v>4.4961593075517969E-5</v>
      </c>
      <c r="F648">
        <f t="shared" si="51"/>
        <v>9.335049744803294E-5</v>
      </c>
      <c r="G648" s="1">
        <f t="shared" si="52"/>
        <v>9.6618061172864013E-3</v>
      </c>
      <c r="H648" s="1">
        <f t="shared" si="48"/>
        <v>1.589367106293613E-2</v>
      </c>
      <c r="I648">
        <f t="shared" si="49"/>
        <v>15893.67106293613</v>
      </c>
      <c r="J648">
        <f t="shared" si="50"/>
        <v>35539.328908746524</v>
      </c>
    </row>
    <row r="649" spans="1:10" x14ac:dyDescent="0.45">
      <c r="A649">
        <v>3.0551746021956205E-3</v>
      </c>
      <c r="B649">
        <f t="shared" si="53"/>
        <v>9.3340918499011682E-6</v>
      </c>
      <c r="F649">
        <f t="shared" si="51"/>
        <v>9.1873763735828668E-5</v>
      </c>
      <c r="G649" s="1">
        <f t="shared" si="52"/>
        <v>9.5850802675735928E-3</v>
      </c>
      <c r="H649" s="1">
        <f t="shared" si="48"/>
        <v>1.5767457040158559E-2</v>
      </c>
      <c r="I649">
        <f t="shared" si="49"/>
        <v>15767.457040158559</v>
      </c>
      <c r="J649">
        <f t="shared" si="50"/>
        <v>35257.105774102172</v>
      </c>
    </row>
    <row r="650" spans="1:10" x14ac:dyDescent="0.45">
      <c r="A650">
        <v>8.8894012151286006E-4</v>
      </c>
      <c r="B650">
        <f t="shared" si="53"/>
        <v>7.9021453963529841E-7</v>
      </c>
      <c r="F650">
        <f t="shared" si="51"/>
        <v>8.9371888143299229E-5</v>
      </c>
      <c r="G650" s="1">
        <f t="shared" si="52"/>
        <v>9.4536706174532664E-3</v>
      </c>
      <c r="H650" s="1">
        <f t="shared" si="48"/>
        <v>1.5551288165710624E-2</v>
      </c>
      <c r="I650">
        <f t="shared" si="49"/>
        <v>15551.288165710625</v>
      </c>
      <c r="J650">
        <f t="shared" si="50"/>
        <v>34773.737476216971</v>
      </c>
    </row>
    <row r="651" spans="1:10" x14ac:dyDescent="0.45">
      <c r="A651">
        <v>6.3728293753229082E-4</v>
      </c>
      <c r="B651">
        <f t="shared" si="53"/>
        <v>4.0612954246978568E-7</v>
      </c>
      <c r="F651">
        <f t="shared" si="51"/>
        <v>8.6689770096594956E-5</v>
      </c>
      <c r="G651" s="1">
        <f t="shared" si="52"/>
        <v>9.3107341330635664E-3</v>
      </c>
      <c r="H651" s="1">
        <f t="shared" si="48"/>
        <v>1.5316157648889567E-2</v>
      </c>
      <c r="I651">
        <f t="shared" si="49"/>
        <v>15316.157648889568</v>
      </c>
      <c r="J651">
        <f t="shared" si="50"/>
        <v>34247.969657020432</v>
      </c>
    </row>
    <row r="652" spans="1:10" x14ac:dyDescent="0.45">
      <c r="A652">
        <v>1.1527072274475358E-2</v>
      </c>
      <c r="B652">
        <f t="shared" si="53"/>
        <v>1.3287339522097852E-4</v>
      </c>
      <c r="F652">
        <f t="shared" si="51"/>
        <v>8.4038381452792947E-5</v>
      </c>
      <c r="G652" s="1">
        <f t="shared" si="52"/>
        <v>9.1672450306944965E-3</v>
      </c>
      <c r="H652" s="1">
        <f t="shared" si="48"/>
        <v>1.5080118075492447E-2</v>
      </c>
      <c r="I652">
        <f t="shared" si="49"/>
        <v>15080.118075492448</v>
      </c>
      <c r="J652">
        <f t="shared" si="50"/>
        <v>33720.169125524422</v>
      </c>
    </row>
    <row r="653" spans="1:10" x14ac:dyDescent="0.45">
      <c r="A653">
        <v>7.6753622124670073E-3</v>
      </c>
      <c r="B653">
        <f t="shared" si="53"/>
        <v>5.8911185092566435E-5</v>
      </c>
      <c r="F653">
        <f t="shared" si="51"/>
        <v>8.5503431590299318E-5</v>
      </c>
      <c r="G653" s="1">
        <f t="shared" si="52"/>
        <v>9.24680656174332E-3</v>
      </c>
      <c r="H653" s="1">
        <f t="shared" si="48"/>
        <v>1.5210996794067762E-2</v>
      </c>
      <c r="I653">
        <f t="shared" si="49"/>
        <v>15210.996794067762</v>
      </c>
      <c r="J653">
        <f t="shared" si="50"/>
        <v>34012.822837066888</v>
      </c>
    </row>
    <row r="654" spans="1:10" x14ac:dyDescent="0.45">
      <c r="A654">
        <v>1.859689291450195E-2</v>
      </c>
      <c r="B654">
        <f t="shared" si="53"/>
        <v>3.4584442607345282E-4</v>
      </c>
      <c r="F654">
        <f t="shared" si="51"/>
        <v>8.4701825384857874E-5</v>
      </c>
      <c r="G654" s="1">
        <f t="shared" si="52"/>
        <v>9.2033594618953062E-3</v>
      </c>
      <c r="H654" s="1">
        <f t="shared" si="48"/>
        <v>1.5139526314817778E-2</v>
      </c>
      <c r="I654">
        <f t="shared" si="49"/>
        <v>15139.526314817778</v>
      </c>
      <c r="J654">
        <f t="shared" si="50"/>
        <v>33853.009987079437</v>
      </c>
    </row>
    <row r="655" spans="1:10" x14ac:dyDescent="0.45">
      <c r="A655">
        <v>1.4261922842706554E-2</v>
      </c>
      <c r="B655">
        <f t="shared" si="53"/>
        <v>2.0340244317131498E-4</v>
      </c>
      <c r="F655">
        <f t="shared" si="51"/>
        <v>9.2534968338842114E-5</v>
      </c>
      <c r="G655" s="1">
        <f t="shared" si="52"/>
        <v>9.6195097764305067E-3</v>
      </c>
      <c r="H655" s="1">
        <f t="shared" si="48"/>
        <v>1.5824093582228183E-2</v>
      </c>
      <c r="I655">
        <f t="shared" si="49"/>
        <v>15824.093582228183</v>
      </c>
      <c r="J655">
        <f t="shared" si="50"/>
        <v>35383.748932180373</v>
      </c>
    </row>
    <row r="656" spans="1:10" x14ac:dyDescent="0.45">
      <c r="A656">
        <v>-4.6756554183957633E-3</v>
      </c>
      <c r="B656">
        <f t="shared" si="53"/>
        <v>2.1861753591573661E-5</v>
      </c>
      <c r="F656">
        <f t="shared" si="51"/>
        <v>9.5859171294180559E-5</v>
      </c>
      <c r="G656" s="1">
        <f t="shared" si="52"/>
        <v>9.7907696987612047E-3</v>
      </c>
      <c r="H656" s="1">
        <f t="shared" si="48"/>
        <v>1.6105816154462181E-2</v>
      </c>
      <c r="I656">
        <f t="shared" si="49"/>
        <v>16105.816154462182</v>
      </c>
      <c r="J656">
        <f t="shared" si="50"/>
        <v>36013.699754491696</v>
      </c>
    </row>
    <row r="657" spans="1:10" x14ac:dyDescent="0.45">
      <c r="A657">
        <v>-3.9468545764975715E-3</v>
      </c>
      <c r="B657">
        <f t="shared" si="53"/>
        <v>1.5577661048019824E-5</v>
      </c>
      <c r="F657">
        <f t="shared" si="51"/>
        <v>9.3635342928091354E-5</v>
      </c>
      <c r="G657" s="1">
        <f t="shared" si="52"/>
        <v>9.6765356883593088E-3</v>
      </c>
      <c r="H657" s="1">
        <f t="shared" si="48"/>
        <v>1.5917901207351062E-2</v>
      </c>
      <c r="I657">
        <f t="shared" si="49"/>
        <v>15917.901207351062</v>
      </c>
      <c r="J657">
        <f t="shared" si="50"/>
        <v>35593.50915876295</v>
      </c>
    </row>
    <row r="658" spans="1:10" x14ac:dyDescent="0.45">
      <c r="A658">
        <v>-1.1930342225241475E-2</v>
      </c>
      <c r="B658">
        <f t="shared" si="53"/>
        <v>1.4233306561137971E-4</v>
      </c>
      <c r="F658">
        <f t="shared" si="51"/>
        <v>9.1247741385731712E-5</v>
      </c>
      <c r="G658" s="1">
        <f t="shared" si="52"/>
        <v>9.5523683652658474E-3</v>
      </c>
      <c r="H658" s="1">
        <f t="shared" si="48"/>
        <v>1.5713645960862319E-2</v>
      </c>
      <c r="I658">
        <f t="shared" si="49"/>
        <v>15713.645960862319</v>
      </c>
      <c r="J658">
        <f t="shared" si="50"/>
        <v>35136.78054285315</v>
      </c>
    </row>
    <row r="659" spans="1:10" x14ac:dyDescent="0.45">
      <c r="A659">
        <v>-6.6155735112261027E-3</v>
      </c>
      <c r="B659">
        <f t="shared" si="53"/>
        <v>4.3765812882436464E-5</v>
      </c>
      <c r="F659">
        <f t="shared" si="51"/>
        <v>9.2768497878922419E-5</v>
      </c>
      <c r="G659" s="1">
        <f t="shared" si="52"/>
        <v>9.6316404562733979E-3</v>
      </c>
      <c r="H659" s="1">
        <f t="shared" si="48"/>
        <v>1.5844048550569739E-2</v>
      </c>
      <c r="I659">
        <f t="shared" si="49"/>
        <v>15844.048550569738</v>
      </c>
      <c r="J659">
        <f t="shared" si="50"/>
        <v>35428.369597880948</v>
      </c>
    </row>
    <row r="660" spans="1:10" x14ac:dyDescent="0.45">
      <c r="A660">
        <v>-2.2563472157344222E-2</v>
      </c>
      <c r="B660">
        <f t="shared" si="53"/>
        <v>5.0911027579524787E-4</v>
      </c>
      <c r="F660">
        <f t="shared" si="51"/>
        <v>9.1297969539363714E-5</v>
      </c>
      <c r="G660" s="1">
        <f t="shared" si="52"/>
        <v>9.5549970978207905E-3</v>
      </c>
      <c r="H660" s="1">
        <f t="shared" si="48"/>
        <v>1.5717970225915201E-2</v>
      </c>
      <c r="I660">
        <f t="shared" si="49"/>
        <v>15717.970225915202</v>
      </c>
      <c r="J660">
        <f t="shared" si="50"/>
        <v>35146.449893464116</v>
      </c>
    </row>
    <row r="661" spans="1:10" x14ac:dyDescent="0.45">
      <c r="A661">
        <v>-8.930373951443471E-3</v>
      </c>
      <c r="B661">
        <f t="shared" si="53"/>
        <v>7.9751578912620074E-5</v>
      </c>
      <c r="F661">
        <f t="shared" si="51"/>
        <v>1.0383023041756972E-4</v>
      </c>
      <c r="G661" s="1">
        <f t="shared" si="52"/>
        <v>1.0189711988941088E-2</v>
      </c>
      <c r="H661" s="1">
        <f t="shared" si="48"/>
        <v>1.676207622180809E-2</v>
      </c>
      <c r="I661">
        <f t="shared" si="49"/>
        <v>16762.076221808089</v>
      </c>
      <c r="J661">
        <f t="shared" si="50"/>
        <v>37481.141875995731</v>
      </c>
    </row>
    <row r="662" spans="1:10" x14ac:dyDescent="0.45">
      <c r="A662">
        <v>1.5568321032333188E-2</v>
      </c>
      <c r="B662">
        <f t="shared" si="53"/>
        <v>2.423726197657879E-4</v>
      </c>
      <c r="F662">
        <f t="shared" si="51"/>
        <v>1.030964048350301E-4</v>
      </c>
      <c r="G662" s="1">
        <f t="shared" si="52"/>
        <v>1.0153639979585159E-2</v>
      </c>
      <c r="H662" s="1">
        <f t="shared" si="48"/>
        <v>1.6702737766417584E-2</v>
      </c>
      <c r="I662">
        <f t="shared" si="49"/>
        <v>16702.737766417584</v>
      </c>
      <c r="J662">
        <f t="shared" si="50"/>
        <v>37348.457056062725</v>
      </c>
    </row>
    <row r="663" spans="1:10" x14ac:dyDescent="0.45">
      <c r="A663">
        <v>-1.6179910744540393E-4</v>
      </c>
      <c r="B663">
        <f t="shared" si="53"/>
        <v>2.6178951170129367E-8</v>
      </c>
      <c r="F663">
        <f t="shared" si="51"/>
        <v>1.0727290603689209E-4</v>
      </c>
      <c r="G663" s="1">
        <f t="shared" si="52"/>
        <v>1.0357263443443548E-2</v>
      </c>
      <c r="H663" s="1">
        <f t="shared" si="48"/>
        <v>1.7037698364464636E-2</v>
      </c>
      <c r="I663">
        <f t="shared" si="49"/>
        <v>17037.698364464635</v>
      </c>
      <c r="J663">
        <f t="shared" si="50"/>
        <v>38097.45172307991</v>
      </c>
    </row>
    <row r="664" spans="1:10" x14ac:dyDescent="0.45">
      <c r="A664">
        <v>1.6721969586797059E-2</v>
      </c>
      <c r="B664">
        <f t="shared" si="53"/>
        <v>2.7962426686176578E-4</v>
      </c>
      <c r="F664">
        <f t="shared" si="51"/>
        <v>1.0405263713340775E-4</v>
      </c>
      <c r="G664" s="1">
        <f t="shared" si="52"/>
        <v>1.0200619448514279E-2</v>
      </c>
      <c r="H664" s="1">
        <f t="shared" si="48"/>
        <v>1.6780018992805987E-2</v>
      </c>
      <c r="I664">
        <f t="shared" si="49"/>
        <v>16780.018992805988</v>
      </c>
      <c r="J664">
        <f t="shared" si="50"/>
        <v>37521.263131651744</v>
      </c>
    </row>
    <row r="665" spans="1:10" x14ac:dyDescent="0.45">
      <c r="A665">
        <v>-2.1979212760925293E-2</v>
      </c>
      <c r="B665">
        <f t="shared" si="53"/>
        <v>4.8308579359002124E-4</v>
      </c>
      <c r="F665">
        <f t="shared" si="51"/>
        <v>1.0924130821476496E-4</v>
      </c>
      <c r="G665" s="1">
        <f t="shared" si="52"/>
        <v>1.0451856687439077E-2</v>
      </c>
      <c r="H665" s="1">
        <f t="shared" si="48"/>
        <v>1.7193304250837281E-2</v>
      </c>
      <c r="I665">
        <f t="shared" si="49"/>
        <v>17193.304250837282</v>
      </c>
      <c r="J665">
        <f t="shared" si="50"/>
        <v>38445.39706270826</v>
      </c>
    </row>
    <row r="666" spans="1:10" x14ac:dyDescent="0.45">
      <c r="A666">
        <v>3.1716126613900997E-3</v>
      </c>
      <c r="B666">
        <f t="shared" si="53"/>
        <v>1.0059126873889991E-5</v>
      </c>
      <c r="F666">
        <f t="shared" si="51"/>
        <v>1.2026998714565058E-4</v>
      </c>
      <c r="G666" s="1">
        <f t="shared" si="52"/>
        <v>1.0966767397262083E-2</v>
      </c>
      <c r="H666" s="1">
        <f t="shared" ref="H666:H729" si="54">G666*$H$1</f>
        <v>1.8040332368496129E-2</v>
      </c>
      <c r="I666">
        <f t="shared" ref="I666:I729" si="55">H666*$K$1</f>
        <v>18040.332368496129</v>
      </c>
      <c r="J666">
        <f t="shared" ref="J666:J729" si="56">I666*SQRT($K$2)</f>
        <v>40339.409512647129</v>
      </c>
    </row>
    <row r="667" spans="1:10" x14ac:dyDescent="0.45">
      <c r="A667">
        <v>1.9722165234270506E-3</v>
      </c>
      <c r="B667">
        <f t="shared" si="53"/>
        <v>3.8896380152786818E-6</v>
      </c>
      <c r="F667">
        <f t="shared" ref="F667:F730" si="57">(1-$E$1)*SUMPRODUCT($E$2:$E$152,B516:B666)</f>
        <v>1.169567146025206E-4</v>
      </c>
      <c r="G667" s="1">
        <f t="shared" ref="G667:G730" si="58">SQRT(F667)</f>
        <v>1.0814652773090802E-2</v>
      </c>
      <c r="H667" s="1">
        <f t="shared" si="54"/>
        <v>1.7790103811734369E-2</v>
      </c>
      <c r="I667">
        <f t="shared" si="55"/>
        <v>17790.103811734371</v>
      </c>
      <c r="J667">
        <f t="shared" si="56"/>
        <v>39779.881449816174</v>
      </c>
    </row>
    <row r="668" spans="1:10" x14ac:dyDescent="0.45">
      <c r="A668">
        <v>-3.6010078474646434E-3</v>
      </c>
      <c r="B668">
        <f t="shared" si="53"/>
        <v>1.2967257517501944E-5</v>
      </c>
      <c r="F668">
        <f t="shared" si="57"/>
        <v>1.1356153606541406E-4</v>
      </c>
      <c r="G668" s="1">
        <f t="shared" si="58"/>
        <v>1.0656525515636606E-2</v>
      </c>
      <c r="H668" s="1">
        <f t="shared" si="54"/>
        <v>1.7529984473222217E-2</v>
      </c>
      <c r="I668">
        <f t="shared" si="55"/>
        <v>17529.984473222215</v>
      </c>
      <c r="J668">
        <f t="shared" si="56"/>
        <v>39198.236926640719</v>
      </c>
    </row>
    <row r="669" spans="1:10" x14ac:dyDescent="0.45">
      <c r="A669">
        <v>2.4220867089752574E-3</v>
      </c>
      <c r="B669">
        <f t="shared" si="53"/>
        <v>5.8665040257945933E-6</v>
      </c>
      <c r="F669">
        <f t="shared" si="57"/>
        <v>1.1053978413041501E-4</v>
      </c>
      <c r="G669" s="1">
        <f t="shared" si="58"/>
        <v>1.0513790188624415E-2</v>
      </c>
      <c r="H669" s="1">
        <f t="shared" si="54"/>
        <v>1.7295184860287163E-2</v>
      </c>
      <c r="I669">
        <f t="shared" si="55"/>
        <v>17295.184860287161</v>
      </c>
      <c r="J669">
        <f t="shared" si="56"/>
        <v>38673.209031027298</v>
      </c>
    </row>
    <row r="670" spans="1:10" x14ac:dyDescent="0.45">
      <c r="A670">
        <v>-1.1513702702359296E-2</v>
      </c>
      <c r="B670">
        <f t="shared" si="53"/>
        <v>1.3256534991831577E-4</v>
      </c>
      <c r="F670">
        <f t="shared" si="57"/>
        <v>1.0739954728139625E-4</v>
      </c>
      <c r="G670" s="1">
        <f t="shared" si="58"/>
        <v>1.0363375284211039E-2</v>
      </c>
      <c r="H670" s="1">
        <f t="shared" si="54"/>
        <v>1.7047752342527159E-2</v>
      </c>
      <c r="I670">
        <f t="shared" si="55"/>
        <v>17047.752342527157</v>
      </c>
      <c r="J670">
        <f t="shared" si="56"/>
        <v>38119.933101472008</v>
      </c>
    </row>
    <row r="671" spans="1:10" x14ac:dyDescent="0.45">
      <c r="A671">
        <v>-2.8107933758292347E-3</v>
      </c>
      <c r="B671">
        <f t="shared" si="53"/>
        <v>7.9005594016055047E-6</v>
      </c>
      <c r="F671">
        <f t="shared" si="57"/>
        <v>1.0815392379090768E-4</v>
      </c>
      <c r="G671" s="1">
        <f t="shared" si="58"/>
        <v>1.039970787046E-2</v>
      </c>
      <c r="H671" s="1">
        <f t="shared" si="54"/>
        <v>1.7107519446906701E-2</v>
      </c>
      <c r="I671">
        <f t="shared" si="55"/>
        <v>17107.519446906699</v>
      </c>
      <c r="J671">
        <f t="shared" si="56"/>
        <v>38253.576409682988</v>
      </c>
    </row>
    <row r="672" spans="1:10" x14ac:dyDescent="0.45">
      <c r="A672">
        <v>1.0045073395303916E-2</v>
      </c>
      <c r="B672">
        <f t="shared" si="53"/>
        <v>1.0090349951704255E-4</v>
      </c>
      <c r="F672">
        <f t="shared" si="57"/>
        <v>1.0514347215636553E-4</v>
      </c>
      <c r="G672" s="1">
        <f t="shared" si="58"/>
        <v>1.0253949100535146E-2</v>
      </c>
      <c r="H672" s="1">
        <f t="shared" si="54"/>
        <v>1.6867746270380315E-2</v>
      </c>
      <c r="I672">
        <f t="shared" si="55"/>
        <v>16867.746270380314</v>
      </c>
      <c r="J672">
        <f t="shared" si="56"/>
        <v>37717.427287788931</v>
      </c>
    </row>
    <row r="673" spans="1:10" x14ac:dyDescent="0.45">
      <c r="A673">
        <v>9.8010104920831509E-3</v>
      </c>
      <c r="B673">
        <f t="shared" si="53"/>
        <v>9.6059806665924009E-5</v>
      </c>
      <c r="F673">
        <f t="shared" si="57"/>
        <v>1.0500118574465915E-4</v>
      </c>
      <c r="G673" s="1">
        <f t="shared" si="58"/>
        <v>1.0247008624211221E-2</v>
      </c>
      <c r="H673" s="1">
        <f t="shared" si="54"/>
        <v>1.685632918682746E-2</v>
      </c>
      <c r="I673">
        <f t="shared" si="55"/>
        <v>16856.329186827461</v>
      </c>
      <c r="J673">
        <f t="shared" si="56"/>
        <v>37691.89791285996</v>
      </c>
    </row>
    <row r="674" spans="1:10" x14ac:dyDescent="0.45">
      <c r="A674">
        <v>-2.1827509044669569E-2</v>
      </c>
      <c r="B674">
        <f t="shared" si="53"/>
        <v>4.7644015109513181E-4</v>
      </c>
      <c r="F674">
        <f t="shared" si="57"/>
        <v>1.0472405231887678E-4</v>
      </c>
      <c r="G674" s="1">
        <f t="shared" si="58"/>
        <v>1.0233477039544124E-2</v>
      </c>
      <c r="H674" s="1">
        <f t="shared" si="54"/>
        <v>1.6834069730050086E-2</v>
      </c>
      <c r="I674">
        <f t="shared" si="55"/>
        <v>16834.069730050087</v>
      </c>
      <c r="J674">
        <f t="shared" si="56"/>
        <v>37642.124254363531</v>
      </c>
    </row>
    <row r="675" spans="1:10" x14ac:dyDescent="0.45">
      <c r="A675">
        <v>9.8979171525570564E-3</v>
      </c>
      <c r="B675">
        <f t="shared" si="53"/>
        <v>9.7968763958883182E-5</v>
      </c>
      <c r="F675">
        <f t="shared" si="57"/>
        <v>1.1584913007893971E-4</v>
      </c>
      <c r="G675" s="1">
        <f t="shared" si="58"/>
        <v>1.0763323375191312E-2</v>
      </c>
      <c r="H675" s="1">
        <f t="shared" si="54"/>
        <v>1.7705666952189707E-2</v>
      </c>
      <c r="I675">
        <f t="shared" si="55"/>
        <v>17705.666952189706</v>
      </c>
      <c r="J675">
        <f t="shared" si="56"/>
        <v>39591.0748920677</v>
      </c>
    </row>
    <row r="676" spans="1:10" x14ac:dyDescent="0.45">
      <c r="A676">
        <v>-6.0572915572265629E-3</v>
      </c>
      <c r="B676">
        <f t="shared" si="53"/>
        <v>3.6690781009248196E-5</v>
      </c>
      <c r="F676">
        <f t="shared" si="57"/>
        <v>1.1530950220449652E-4</v>
      </c>
      <c r="G676" s="1">
        <f t="shared" si="58"/>
        <v>1.0738226213136717E-2</v>
      </c>
      <c r="H676" s="1">
        <f t="shared" si="54"/>
        <v>1.76643821206099E-2</v>
      </c>
      <c r="I676">
        <f t="shared" si="55"/>
        <v>17664.382120609898</v>
      </c>
      <c r="J676">
        <f t="shared" si="56"/>
        <v>39498.759202215624</v>
      </c>
    </row>
    <row r="677" spans="1:10" x14ac:dyDescent="0.45">
      <c r="A677">
        <v>8.6656427811249159E-3</v>
      </c>
      <c r="B677">
        <f t="shared" si="53"/>
        <v>7.5093364810062361E-5</v>
      </c>
      <c r="F677">
        <f t="shared" si="57"/>
        <v>1.1291667115123059E-4</v>
      </c>
      <c r="G677" s="1">
        <f t="shared" si="58"/>
        <v>1.0626225630544018E-2</v>
      </c>
      <c r="H677" s="1">
        <f t="shared" si="54"/>
        <v>1.748014116224491E-2</v>
      </c>
      <c r="I677">
        <f t="shared" si="55"/>
        <v>17480.141162244909</v>
      </c>
      <c r="J677">
        <f t="shared" si="56"/>
        <v>39086.7838950718</v>
      </c>
    </row>
    <row r="678" spans="1:10" x14ac:dyDescent="0.45">
      <c r="A678">
        <v>8.9507921074982733E-4</v>
      </c>
      <c r="B678">
        <f t="shared" si="53"/>
        <v>8.011667935165338E-7</v>
      </c>
      <c r="F678">
        <f t="shared" si="57"/>
        <v>1.1178057456444496E-4</v>
      </c>
      <c r="G678" s="1">
        <f t="shared" si="58"/>
        <v>1.0572633284307414E-2</v>
      </c>
      <c r="H678" s="1">
        <f t="shared" si="54"/>
        <v>1.7391981752685696E-2</v>
      </c>
      <c r="I678">
        <f t="shared" si="55"/>
        <v>17391.981752685697</v>
      </c>
      <c r="J678">
        <f t="shared" si="56"/>
        <v>38889.653462441158</v>
      </c>
    </row>
    <row r="679" spans="1:10" x14ac:dyDescent="0.45">
      <c r="A679">
        <v>-4.1286170926468913E-3</v>
      </c>
      <c r="B679">
        <f t="shared" si="53"/>
        <v>1.7045479097696069E-5</v>
      </c>
      <c r="F679">
        <f t="shared" si="57"/>
        <v>1.0845111546055488E-4</v>
      </c>
      <c r="G679" s="1">
        <f t="shared" si="58"/>
        <v>1.0413986530649772E-2</v>
      </c>
      <c r="H679" s="1">
        <f t="shared" si="54"/>
        <v>1.7131007842918877E-2</v>
      </c>
      <c r="I679">
        <f t="shared" si="55"/>
        <v>17131.007842918876</v>
      </c>
      <c r="J679">
        <f t="shared" si="56"/>
        <v>38306.098059848649</v>
      </c>
    </row>
    <row r="680" spans="1:10" x14ac:dyDescent="0.45">
      <c r="A680">
        <v>-1.9240360416006297E-4</v>
      </c>
      <c r="B680">
        <f t="shared" si="53"/>
        <v>3.70191468937822E-8</v>
      </c>
      <c r="F680">
        <f t="shared" si="57"/>
        <v>1.0567656443215346E-4</v>
      </c>
      <c r="G680" s="1">
        <f t="shared" si="58"/>
        <v>1.0279910721020561E-2</v>
      </c>
      <c r="H680" s="1">
        <f t="shared" si="54"/>
        <v>1.6910453136078824E-2</v>
      </c>
      <c r="I680">
        <f t="shared" si="55"/>
        <v>16910.453136078824</v>
      </c>
      <c r="J680">
        <f t="shared" si="56"/>
        <v>37812.922742596755</v>
      </c>
    </row>
    <row r="681" spans="1:10" x14ac:dyDescent="0.45">
      <c r="A681">
        <v>-7.3898831942642573E-3</v>
      </c>
      <c r="B681">
        <f t="shared" si="53"/>
        <v>5.4610373624869305E-5</v>
      </c>
      <c r="F681">
        <f t="shared" si="57"/>
        <v>1.0248732259885331E-4</v>
      </c>
      <c r="G681" s="1">
        <f t="shared" si="58"/>
        <v>1.0123602254081958E-2</v>
      </c>
      <c r="H681" s="1">
        <f t="shared" si="54"/>
        <v>1.6653325707964819E-2</v>
      </c>
      <c r="I681">
        <f t="shared" si="55"/>
        <v>16653.325707964817</v>
      </c>
      <c r="J681">
        <f t="shared" si="56"/>
        <v>37237.968334454141</v>
      </c>
    </row>
    <row r="682" spans="1:10" x14ac:dyDescent="0.45">
      <c r="A682">
        <v>-6.3812422013143077E-3</v>
      </c>
      <c r="B682">
        <f t="shared" si="53"/>
        <v>4.0720252031834675E-5</v>
      </c>
      <c r="F682">
        <f t="shared" si="57"/>
        <v>1.0104605948791315E-4</v>
      </c>
      <c r="G682" s="1">
        <f t="shared" si="58"/>
        <v>1.0052166905096291E-2</v>
      </c>
      <c r="H682" s="1">
        <f t="shared" si="54"/>
        <v>1.6535814558883397E-2</v>
      </c>
      <c r="I682">
        <f t="shared" si="55"/>
        <v>16535.814558883398</v>
      </c>
      <c r="J682">
        <f t="shared" si="56"/>
        <v>36975.20541699398</v>
      </c>
    </row>
    <row r="683" spans="1:10" x14ac:dyDescent="0.45">
      <c r="A683">
        <v>-1.4172769624565262E-3</v>
      </c>
      <c r="B683">
        <f t="shared" si="53"/>
        <v>2.0086739883099976E-6</v>
      </c>
      <c r="F683">
        <f t="shared" si="57"/>
        <v>9.9168919169861491E-5</v>
      </c>
      <c r="G683" s="1">
        <f t="shared" si="58"/>
        <v>9.9583592609355821E-3</v>
      </c>
      <c r="H683" s="1">
        <f t="shared" si="54"/>
        <v>1.6381500984239034E-2</v>
      </c>
      <c r="I683">
        <f t="shared" si="55"/>
        <v>16381.500984239034</v>
      </c>
      <c r="J683">
        <f t="shared" si="56"/>
        <v>36630.149774238191</v>
      </c>
    </row>
    <row r="684" spans="1:10" x14ac:dyDescent="0.45">
      <c r="A684">
        <v>8.1676034824340604E-4</v>
      </c>
      <c r="B684">
        <f t="shared" si="53"/>
        <v>6.670974664626899E-7</v>
      </c>
      <c r="F684">
        <f t="shared" si="57"/>
        <v>9.6241831492094648E-5</v>
      </c>
      <c r="G684" s="1">
        <f t="shared" si="58"/>
        <v>9.8102921206299782E-3</v>
      </c>
      <c r="H684" s="1">
        <f t="shared" si="54"/>
        <v>1.6137930538436315E-2</v>
      </c>
      <c r="I684">
        <f t="shared" si="55"/>
        <v>16137.930538436314</v>
      </c>
      <c r="J684">
        <f t="shared" si="56"/>
        <v>36085.509700113384</v>
      </c>
    </row>
    <row r="685" spans="1:10" x14ac:dyDescent="0.45">
      <c r="A685">
        <v>-9.3425569502869621E-4</v>
      </c>
      <c r="B685">
        <f t="shared" si="53"/>
        <v>8.7283370369355217E-7</v>
      </c>
      <c r="F685">
        <f t="shared" si="57"/>
        <v>9.3248292021855101E-5</v>
      </c>
      <c r="G685" s="1">
        <f t="shared" si="58"/>
        <v>9.6565155217529213E-3</v>
      </c>
      <c r="H685" s="1">
        <f t="shared" si="54"/>
        <v>1.5884968033283556E-2</v>
      </c>
      <c r="I685">
        <f t="shared" si="55"/>
        <v>15884.968033283556</v>
      </c>
      <c r="J685">
        <f t="shared" si="56"/>
        <v>35519.868342833171</v>
      </c>
    </row>
    <row r="686" spans="1:10" x14ac:dyDescent="0.45">
      <c r="A686">
        <v>-5.8854084272752516E-3</v>
      </c>
      <c r="B686">
        <f t="shared" si="53"/>
        <v>3.463803235584255E-5</v>
      </c>
      <c r="F686">
        <f t="shared" si="57"/>
        <v>9.0473874621766422E-5</v>
      </c>
      <c r="G686" s="1">
        <f t="shared" si="58"/>
        <v>9.5117755767136578E-3</v>
      </c>
      <c r="H686" s="1">
        <f t="shared" si="54"/>
        <v>1.5646870823693967E-2</v>
      </c>
      <c r="I686">
        <f t="shared" si="55"/>
        <v>15646.870823693967</v>
      </c>
      <c r="J686">
        <f t="shared" si="56"/>
        <v>34987.466796937842</v>
      </c>
    </row>
    <row r="687" spans="1:10" x14ac:dyDescent="0.45">
      <c r="A687">
        <v>1.4308579920907505E-2</v>
      </c>
      <c r="B687">
        <f t="shared" si="53"/>
        <v>2.0473545935299742E-4</v>
      </c>
      <c r="F687">
        <f t="shared" si="57"/>
        <v>8.8792402879568112E-5</v>
      </c>
      <c r="G687" s="1">
        <f t="shared" si="58"/>
        <v>9.4229720831364092E-3</v>
      </c>
      <c r="H687" s="1">
        <f t="shared" si="54"/>
        <v>1.5500789076759393E-2</v>
      </c>
      <c r="I687">
        <f t="shared" si="55"/>
        <v>15500.789076759393</v>
      </c>
      <c r="J687">
        <f t="shared" si="56"/>
        <v>34660.818080520206</v>
      </c>
    </row>
    <row r="688" spans="1:10" x14ac:dyDescent="0.45">
      <c r="A688">
        <v>-4.2660985855036415E-4</v>
      </c>
      <c r="B688">
        <f t="shared" si="53"/>
        <v>1.819959714123617E-7</v>
      </c>
      <c r="F688">
        <f t="shared" si="57"/>
        <v>9.2259211316473013E-5</v>
      </c>
      <c r="G688" s="1">
        <f t="shared" si="58"/>
        <v>9.6051658661614487E-3</v>
      </c>
      <c r="H688" s="1">
        <f t="shared" si="54"/>
        <v>1.5800497849835584E-2</v>
      </c>
      <c r="I688">
        <f t="shared" si="55"/>
        <v>15800.497849835583</v>
      </c>
      <c r="J688">
        <f t="shared" si="56"/>
        <v>35330.987270571633</v>
      </c>
    </row>
    <row r="689" spans="1:10" x14ac:dyDescent="0.45">
      <c r="A689">
        <v>8.8357410277239978E-5</v>
      </c>
      <c r="B689">
        <f t="shared" si="53"/>
        <v>7.8070319509005129E-9</v>
      </c>
      <c r="F689">
        <f t="shared" si="57"/>
        <v>8.9444708133088442E-5</v>
      </c>
      <c r="G689" s="1">
        <f t="shared" si="58"/>
        <v>9.4575212467690739E-3</v>
      </c>
      <c r="H689" s="1">
        <f t="shared" si="54"/>
        <v>1.5557622450935126E-2</v>
      </c>
      <c r="I689">
        <f t="shared" si="55"/>
        <v>15557.622450935127</v>
      </c>
      <c r="J689">
        <f t="shared" si="56"/>
        <v>34787.901368567829</v>
      </c>
    </row>
    <row r="690" spans="1:10" x14ac:dyDescent="0.45">
      <c r="A690">
        <v>-5.6460294217686169E-3</v>
      </c>
      <c r="B690">
        <f t="shared" si="53"/>
        <v>3.1877648231476865E-5</v>
      </c>
      <c r="F690">
        <f t="shared" si="57"/>
        <v>8.6611685111025367E-5</v>
      </c>
      <c r="G690" s="1">
        <f t="shared" si="58"/>
        <v>9.306539910784532E-3</v>
      </c>
      <c r="H690" s="1">
        <f t="shared" si="54"/>
        <v>1.5309258153240555E-2</v>
      </c>
      <c r="I690">
        <f t="shared" si="55"/>
        <v>15309.258153240555</v>
      </c>
      <c r="J690">
        <f t="shared" si="56"/>
        <v>34232.541915738773</v>
      </c>
    </row>
    <row r="691" spans="1:10" x14ac:dyDescent="0.45">
      <c r="A691">
        <v>-1.3492672223947011E-2</v>
      </c>
      <c r="B691">
        <f t="shared" si="53"/>
        <v>1.8205220374287119E-4</v>
      </c>
      <c r="F691">
        <f t="shared" si="57"/>
        <v>8.4966974373564742E-5</v>
      </c>
      <c r="G691" s="1">
        <f t="shared" si="58"/>
        <v>9.2177532172197339E-3</v>
      </c>
      <c r="H691" s="1">
        <f t="shared" si="54"/>
        <v>1.5163204042326463E-2</v>
      </c>
      <c r="I691">
        <f t="shared" si="55"/>
        <v>15163.204042326463</v>
      </c>
      <c r="J691">
        <f t="shared" si="56"/>
        <v>33905.95499534157</v>
      </c>
    </row>
    <row r="692" spans="1:10" x14ac:dyDescent="0.45">
      <c r="A692">
        <v>4.69273118142155E-3</v>
      </c>
      <c r="B692">
        <f t="shared" si="53"/>
        <v>2.2021725941086098E-5</v>
      </c>
      <c r="F692">
        <f t="shared" si="57"/>
        <v>8.7795835906845813E-5</v>
      </c>
      <c r="G692" s="1">
        <f t="shared" si="58"/>
        <v>9.3699432179093715E-3</v>
      </c>
      <c r="H692" s="1">
        <f t="shared" si="54"/>
        <v>1.5413556593460916E-2</v>
      </c>
      <c r="I692">
        <f t="shared" si="55"/>
        <v>15413.556593460917</v>
      </c>
      <c r="J692">
        <f t="shared" si="56"/>
        <v>34465.7603180187</v>
      </c>
    </row>
    <row r="693" spans="1:10" x14ac:dyDescent="0.45">
      <c r="A693">
        <v>-1.5990690371836536E-2</v>
      </c>
      <c r="B693">
        <f t="shared" si="53"/>
        <v>2.5570217856794571E-4</v>
      </c>
      <c r="F693">
        <f t="shared" si="57"/>
        <v>8.5822149383908583E-5</v>
      </c>
      <c r="G693" s="1">
        <f t="shared" si="58"/>
        <v>9.2640244701700011E-3</v>
      </c>
      <c r="H693" s="1">
        <f t="shared" si="54"/>
        <v>1.5239320253429651E-2</v>
      </c>
      <c r="I693">
        <f t="shared" si="55"/>
        <v>15239.320253429651</v>
      </c>
      <c r="J693">
        <f t="shared" si="56"/>
        <v>34076.156017558023</v>
      </c>
    </row>
    <row r="694" spans="1:10" x14ac:dyDescent="0.45">
      <c r="A694">
        <v>9.4347569756791927E-4</v>
      </c>
      <c r="B694">
        <f t="shared" si="53"/>
        <v>8.9014639190127185E-7</v>
      </c>
      <c r="F694">
        <f t="shared" si="57"/>
        <v>9.0871604366935381E-5</v>
      </c>
      <c r="G694" s="1">
        <f t="shared" si="58"/>
        <v>9.5326598789076383E-3</v>
      </c>
      <c r="H694" s="1">
        <f t="shared" si="54"/>
        <v>1.5681225500803066E-2</v>
      </c>
      <c r="I694">
        <f t="shared" si="55"/>
        <v>15681.225500803066</v>
      </c>
      <c r="J694">
        <f t="shared" si="56"/>
        <v>35064.286190298837</v>
      </c>
    </row>
    <row r="695" spans="1:10" x14ac:dyDescent="0.45">
      <c r="A695">
        <v>2.6377279027656186E-3</v>
      </c>
      <c r="B695">
        <f t="shared" si="53"/>
        <v>6.9576084890283086E-6</v>
      </c>
      <c r="F695">
        <f t="shared" si="57"/>
        <v>8.8133966364060718E-5</v>
      </c>
      <c r="G695" s="1">
        <f t="shared" si="58"/>
        <v>9.3879692353597277E-3</v>
      </c>
      <c r="H695" s="1">
        <f t="shared" si="54"/>
        <v>1.5443209392166752E-2</v>
      </c>
      <c r="I695">
        <f t="shared" si="55"/>
        <v>15443.209392166751</v>
      </c>
      <c r="J695">
        <f t="shared" si="56"/>
        <v>34532.065991648065</v>
      </c>
    </row>
    <row r="696" spans="1:10" x14ac:dyDescent="0.45">
      <c r="A696">
        <v>-3.4025447348540183E-3</v>
      </c>
      <c r="B696">
        <f t="shared" si="53"/>
        <v>1.1577310672682802E-5</v>
      </c>
      <c r="F696">
        <f t="shared" si="57"/>
        <v>8.5693341150546378E-5</v>
      </c>
      <c r="G696" s="1">
        <f t="shared" si="58"/>
        <v>9.2570697928959344E-3</v>
      </c>
      <c r="H696" s="1">
        <f t="shared" si="54"/>
        <v>1.5227879809313812E-2</v>
      </c>
      <c r="I696">
        <f t="shared" si="55"/>
        <v>15227.879809313812</v>
      </c>
      <c r="J696">
        <f t="shared" si="56"/>
        <v>34050.574406822219</v>
      </c>
    </row>
    <row r="697" spans="1:10" x14ac:dyDescent="0.45">
      <c r="A697">
        <v>-9.3130665845819749E-3</v>
      </c>
      <c r="B697">
        <f t="shared" si="53"/>
        <v>8.6733209208857376E-5</v>
      </c>
      <c r="F697">
        <f t="shared" si="57"/>
        <v>8.3463073904353405E-5</v>
      </c>
      <c r="G697" s="1">
        <f t="shared" si="58"/>
        <v>9.1358127117598803E-3</v>
      </c>
      <c r="H697" s="1">
        <f t="shared" si="54"/>
        <v>1.5028411910845004E-2</v>
      </c>
      <c r="I697">
        <f t="shared" si="55"/>
        <v>15028.411910845003</v>
      </c>
      <c r="J697">
        <f t="shared" si="56"/>
        <v>33604.550626516939</v>
      </c>
    </row>
    <row r="698" spans="1:10" x14ac:dyDescent="0.45">
      <c r="A698">
        <v>-2.6107954909093678E-2</v>
      </c>
      <c r="B698">
        <f t="shared" si="53"/>
        <v>6.8162530953526867E-4</v>
      </c>
      <c r="F698">
        <f t="shared" si="57"/>
        <v>8.3546476829792599E-5</v>
      </c>
      <c r="G698" s="1">
        <f t="shared" si="58"/>
        <v>9.140376186448378E-3</v>
      </c>
      <c r="H698" s="1">
        <f t="shared" si="54"/>
        <v>1.5035918826707581E-2</v>
      </c>
      <c r="I698">
        <f t="shared" si="55"/>
        <v>15035.918826707581</v>
      </c>
      <c r="J698">
        <f t="shared" si="56"/>
        <v>33621.336600687035</v>
      </c>
    </row>
    <row r="699" spans="1:10" x14ac:dyDescent="0.45">
      <c r="A699">
        <v>2.6963789423462003E-3</v>
      </c>
      <c r="B699">
        <f t="shared" si="53"/>
        <v>7.270459400728014E-6</v>
      </c>
      <c r="F699">
        <f t="shared" si="57"/>
        <v>1.014682665074553E-4</v>
      </c>
      <c r="G699" s="1">
        <f t="shared" si="58"/>
        <v>1.0073145809897488E-2</v>
      </c>
      <c r="H699" s="1">
        <f t="shared" si="54"/>
        <v>1.6570324857281368E-2</v>
      </c>
      <c r="I699">
        <f t="shared" si="55"/>
        <v>16570.324857281368</v>
      </c>
      <c r="J699">
        <f t="shared" si="56"/>
        <v>37052.37279013564</v>
      </c>
    </row>
    <row r="700" spans="1:10" x14ac:dyDescent="0.45">
      <c r="A700">
        <v>-6.7867631514673121E-4</v>
      </c>
      <c r="B700">
        <f t="shared" si="53"/>
        <v>4.6060154074114521E-7</v>
      </c>
      <c r="F700">
        <f t="shared" si="57"/>
        <v>9.8636676336502871E-5</v>
      </c>
      <c r="G700" s="1">
        <f t="shared" si="58"/>
        <v>9.931599888059469E-3</v>
      </c>
      <c r="H700" s="1">
        <f t="shared" si="54"/>
        <v>1.6337481815857827E-2</v>
      </c>
      <c r="I700">
        <f t="shared" si="55"/>
        <v>16337.481815857827</v>
      </c>
      <c r="J700">
        <f t="shared" si="56"/>
        <v>36531.719921424803</v>
      </c>
    </row>
    <row r="701" spans="1:10" x14ac:dyDescent="0.45">
      <c r="A701">
        <v>1.3076373761577997E-3</v>
      </c>
      <c r="B701">
        <f t="shared" si="53"/>
        <v>1.709915507524855E-6</v>
      </c>
      <c r="F701">
        <f t="shared" si="57"/>
        <v>9.5679357569803929E-5</v>
      </c>
      <c r="G701" s="1">
        <f t="shared" si="58"/>
        <v>9.7815825697994251E-3</v>
      </c>
      <c r="H701" s="1">
        <f t="shared" si="54"/>
        <v>1.6090703327320054E-2</v>
      </c>
      <c r="I701">
        <f t="shared" si="55"/>
        <v>16090.703327320054</v>
      </c>
      <c r="J701">
        <f t="shared" si="56"/>
        <v>35979.906445669694</v>
      </c>
    </row>
    <row r="702" spans="1:10" x14ac:dyDescent="0.45">
      <c r="A702">
        <v>5.0476046453695744E-3</v>
      </c>
      <c r="B702">
        <f t="shared" si="53"/>
        <v>2.5478312655956506E-5</v>
      </c>
      <c r="F702">
        <f t="shared" si="57"/>
        <v>9.2797394880757297E-5</v>
      </c>
      <c r="G702" s="1">
        <f t="shared" si="58"/>
        <v>9.633140447473881E-3</v>
      </c>
      <c r="H702" s="1">
        <f t="shared" si="54"/>
        <v>1.5846516036094535E-2</v>
      </c>
      <c r="I702">
        <f t="shared" si="55"/>
        <v>15846.516036094536</v>
      </c>
      <c r="J702">
        <f t="shared" si="56"/>
        <v>35433.887063247894</v>
      </c>
    </row>
    <row r="703" spans="1:10" x14ac:dyDescent="0.45">
      <c r="A703">
        <v>-2.8402610041666776E-3</v>
      </c>
      <c r="B703">
        <f t="shared" si="53"/>
        <v>8.0670825717899029E-6</v>
      </c>
      <c r="F703">
        <f t="shared" si="57"/>
        <v>9.0751316735143632E-5</v>
      </c>
      <c r="G703" s="1">
        <f t="shared" si="58"/>
        <v>9.5263485520499219E-3</v>
      </c>
      <c r="H703" s="1">
        <f t="shared" si="54"/>
        <v>1.5670843368122123E-2</v>
      </c>
      <c r="I703">
        <f t="shared" si="55"/>
        <v>15670.843368122123</v>
      </c>
      <c r="J703">
        <f t="shared" si="56"/>
        <v>35041.071035872832</v>
      </c>
    </row>
    <row r="704" spans="1:10" x14ac:dyDescent="0.45">
      <c r="A704">
        <v>4.8883521230891347E-3</v>
      </c>
      <c r="B704">
        <f t="shared" si="53"/>
        <v>2.3895986479310051E-5</v>
      </c>
      <c r="F704">
        <f t="shared" si="57"/>
        <v>8.8257817407321523E-5</v>
      </c>
      <c r="G704" s="1">
        <f t="shared" si="58"/>
        <v>9.3945631834227144E-3</v>
      </c>
      <c r="H704" s="1">
        <f t="shared" si="54"/>
        <v>1.5454056436730366E-2</v>
      </c>
      <c r="I704">
        <f t="shared" si="55"/>
        <v>15454.056436730367</v>
      </c>
      <c r="J704">
        <f t="shared" si="56"/>
        <v>34556.32072064728</v>
      </c>
    </row>
    <row r="705" spans="1:10" x14ac:dyDescent="0.45">
      <c r="A705">
        <v>1.3835096979164518E-2</v>
      </c>
      <c r="B705">
        <f t="shared" si="53"/>
        <v>1.9140990842288718E-4</v>
      </c>
      <c r="F705">
        <f t="shared" si="57"/>
        <v>8.6317437750652276E-5</v>
      </c>
      <c r="G705" s="1">
        <f t="shared" si="58"/>
        <v>9.2907178275229239E-3</v>
      </c>
      <c r="H705" s="1">
        <f t="shared" si="54"/>
        <v>1.528323082627521E-2</v>
      </c>
      <c r="I705">
        <f t="shared" si="55"/>
        <v>15283.23082627521</v>
      </c>
      <c r="J705">
        <f t="shared" si="56"/>
        <v>34174.343043371649</v>
      </c>
    </row>
    <row r="706" spans="1:10" x14ac:dyDescent="0.45">
      <c r="A706">
        <v>1.311946107307449E-4</v>
      </c>
      <c r="B706">
        <f t="shared" si="53"/>
        <v>1.7212025884791684E-8</v>
      </c>
      <c r="F706">
        <f t="shared" si="57"/>
        <v>8.9444519977765224E-5</v>
      </c>
      <c r="G706" s="1">
        <f t="shared" si="58"/>
        <v>9.4575112993728547E-3</v>
      </c>
      <c r="H706" s="1">
        <f t="shared" si="54"/>
        <v>1.5557606087468347E-2</v>
      </c>
      <c r="I706">
        <f t="shared" si="55"/>
        <v>15557.606087468346</v>
      </c>
      <c r="J706">
        <f t="shared" si="56"/>
        <v>34787.864778743766</v>
      </c>
    </row>
    <row r="707" spans="1:10" x14ac:dyDescent="0.45">
      <c r="A707">
        <v>-1.5588284441037104E-3</v>
      </c>
      <c r="B707">
        <f t="shared" ref="B707:B770" si="59">A707^2</f>
        <v>2.4299461181467942E-6</v>
      </c>
      <c r="F707">
        <f t="shared" si="57"/>
        <v>8.6761448079626481E-5</v>
      </c>
      <c r="G707" s="1">
        <f t="shared" si="58"/>
        <v>9.3145825499389122E-3</v>
      </c>
      <c r="H707" s="1">
        <f t="shared" si="54"/>
        <v>1.532248829464951E-2</v>
      </c>
      <c r="I707">
        <f t="shared" si="55"/>
        <v>15322.488294649511</v>
      </c>
      <c r="J707">
        <f t="shared" si="56"/>
        <v>34262.125411281137</v>
      </c>
    </row>
    <row r="708" spans="1:10" x14ac:dyDescent="0.45">
      <c r="A708">
        <v>-8.9968352767755277E-4</v>
      </c>
      <c r="B708">
        <f t="shared" si="59"/>
        <v>8.0943044997432586E-7</v>
      </c>
      <c r="F708">
        <f t="shared" si="57"/>
        <v>8.4174322265172824E-5</v>
      </c>
      <c r="G708" s="1">
        <f t="shared" si="58"/>
        <v>9.1746565202830803E-3</v>
      </c>
      <c r="H708" s="1">
        <f t="shared" si="54"/>
        <v>1.5092309975865668E-2</v>
      </c>
      <c r="I708">
        <f t="shared" si="55"/>
        <v>15092.309975865668</v>
      </c>
      <c r="J708">
        <f t="shared" si="56"/>
        <v>33747.431043533848</v>
      </c>
    </row>
    <row r="709" spans="1:10" x14ac:dyDescent="0.45">
      <c r="A709">
        <v>3.9584392652614042E-3</v>
      </c>
      <c r="B709">
        <f t="shared" si="59"/>
        <v>1.5669241416763247E-5</v>
      </c>
      <c r="F709">
        <f t="shared" si="57"/>
        <v>8.165744528206199E-5</v>
      </c>
      <c r="G709" s="1">
        <f t="shared" si="58"/>
        <v>9.0364509229045216E-3</v>
      </c>
      <c r="H709" s="1">
        <f t="shared" si="54"/>
        <v>1.4864961768177937E-2</v>
      </c>
      <c r="I709">
        <f t="shared" si="55"/>
        <v>14864.961768177938</v>
      </c>
      <c r="J709">
        <f t="shared" si="56"/>
        <v>33239.064996581343</v>
      </c>
    </row>
    <row r="710" spans="1:10" x14ac:dyDescent="0.45">
      <c r="A710">
        <v>1.3956423572381027E-3</v>
      </c>
      <c r="B710">
        <f t="shared" si="59"/>
        <v>1.9478175893171278E-6</v>
      </c>
      <c r="F710">
        <f t="shared" si="57"/>
        <v>7.9669794649762942E-5</v>
      </c>
      <c r="G710" s="1">
        <f t="shared" si="58"/>
        <v>8.9257937826146844E-3</v>
      </c>
      <c r="H710" s="1">
        <f t="shared" si="54"/>
        <v>1.4682930772401155E-2</v>
      </c>
      <c r="I710">
        <f t="shared" si="55"/>
        <v>14682.930772401156</v>
      </c>
      <c r="J710">
        <f t="shared" si="56"/>
        <v>32832.031316012479</v>
      </c>
    </row>
    <row r="711" spans="1:10" x14ac:dyDescent="0.45">
      <c r="A711">
        <v>-1.2076543498551473E-2</v>
      </c>
      <c r="B711">
        <f t="shared" si="59"/>
        <v>1.4584290287240586E-4</v>
      </c>
      <c r="F711">
        <f t="shared" si="57"/>
        <v>7.7335405181554138E-5</v>
      </c>
      <c r="G711" s="1">
        <f t="shared" si="58"/>
        <v>8.794055104532501E-3</v>
      </c>
      <c r="H711" s="1">
        <f t="shared" si="54"/>
        <v>1.4466220646955965E-2</v>
      </c>
      <c r="I711">
        <f t="shared" si="55"/>
        <v>14466.220646955964</v>
      </c>
      <c r="J711">
        <f t="shared" si="56"/>
        <v>32347.452744104525</v>
      </c>
    </row>
    <row r="712" spans="1:10" x14ac:dyDescent="0.45">
      <c r="A712">
        <v>-1.1524093679327052E-2</v>
      </c>
      <c r="B712">
        <f t="shared" si="59"/>
        <v>1.3280473512990572E-4</v>
      </c>
      <c r="F712">
        <f t="shared" si="57"/>
        <v>7.9378607798433122E-5</v>
      </c>
      <c r="G712" s="1">
        <f t="shared" si="58"/>
        <v>8.9094673128326321E-3</v>
      </c>
      <c r="H712" s="1">
        <f t="shared" si="54"/>
        <v>1.465607372960968E-2</v>
      </c>
      <c r="I712">
        <f t="shared" si="55"/>
        <v>14656.07372960968</v>
      </c>
      <c r="J712">
        <f t="shared" si="56"/>
        <v>32771.97714265612</v>
      </c>
    </row>
    <row r="713" spans="1:10" x14ac:dyDescent="0.45">
      <c r="A713">
        <v>-1.2094028534193058E-2</v>
      </c>
      <c r="B713">
        <f t="shared" si="59"/>
        <v>1.4626552618587587E-4</v>
      </c>
      <c r="F713">
        <f t="shared" si="57"/>
        <v>8.0954541445420886E-5</v>
      </c>
      <c r="G713" s="1">
        <f t="shared" si="58"/>
        <v>8.997474170311404E-3</v>
      </c>
      <c r="H713" s="1">
        <f t="shared" si="54"/>
        <v>1.480084501016226E-2</v>
      </c>
      <c r="I713">
        <f t="shared" si="55"/>
        <v>14800.84501016226</v>
      </c>
      <c r="J713">
        <f t="shared" si="56"/>
        <v>33095.695567161383</v>
      </c>
    </row>
    <row r="714" spans="1:10" x14ac:dyDescent="0.45">
      <c r="A714">
        <v>-3.8634652810287662E-3</v>
      </c>
      <c r="B714">
        <f t="shared" si="59"/>
        <v>1.4926363977714683E-5</v>
      </c>
      <c r="F714">
        <f t="shared" si="57"/>
        <v>8.2907218595960043E-5</v>
      </c>
      <c r="G714" s="1">
        <f t="shared" si="58"/>
        <v>9.1053401142384589E-3</v>
      </c>
      <c r="H714" s="1">
        <f t="shared" si="54"/>
        <v>1.4978284487922265E-2</v>
      </c>
      <c r="I714">
        <f t="shared" si="55"/>
        <v>14978.284487922265</v>
      </c>
      <c r="J714">
        <f t="shared" si="56"/>
        <v>33492.462301324813</v>
      </c>
    </row>
    <row r="715" spans="1:10" x14ac:dyDescent="0.45">
      <c r="A715">
        <v>6.19202182861045E-3</v>
      </c>
      <c r="B715">
        <f t="shared" si="59"/>
        <v>3.8341134325988298E-5</v>
      </c>
      <c r="F715">
        <f t="shared" si="57"/>
        <v>8.0864147854124401E-5</v>
      </c>
      <c r="G715" s="1">
        <f t="shared" si="58"/>
        <v>8.9924494913301792E-3</v>
      </c>
      <c r="H715" s="1">
        <f t="shared" si="54"/>
        <v>1.4792579413238145E-2</v>
      </c>
      <c r="I715">
        <f t="shared" si="55"/>
        <v>14792.579413238145</v>
      </c>
      <c r="J715">
        <f t="shared" si="56"/>
        <v>33077.213130564443</v>
      </c>
    </row>
    <row r="716" spans="1:10" x14ac:dyDescent="0.45">
      <c r="A716">
        <v>5.6424369176966138E-3</v>
      </c>
      <c r="B716">
        <f t="shared" si="59"/>
        <v>3.1837094370185664E-5</v>
      </c>
      <c r="F716">
        <f t="shared" si="57"/>
        <v>7.9488349646984497E-5</v>
      </c>
      <c r="G716" s="1">
        <f t="shared" si="58"/>
        <v>8.9156239067708833E-3</v>
      </c>
      <c r="H716" s="1">
        <f t="shared" si="54"/>
        <v>1.4666201326638104E-2</v>
      </c>
      <c r="I716">
        <f t="shared" si="55"/>
        <v>14666.201326638104</v>
      </c>
      <c r="J716">
        <f t="shared" si="56"/>
        <v>32794.6231380604</v>
      </c>
    </row>
    <row r="717" spans="1:10" x14ac:dyDescent="0.45">
      <c r="A717">
        <v>4.4076614358345978E-3</v>
      </c>
      <c r="B717">
        <f t="shared" si="59"/>
        <v>1.9427479332943507E-5</v>
      </c>
      <c r="F717">
        <f t="shared" si="57"/>
        <v>7.8058226178611488E-5</v>
      </c>
      <c r="G717" s="1">
        <f t="shared" si="58"/>
        <v>8.8350566596152331E-3</v>
      </c>
      <c r="H717" s="1">
        <f t="shared" si="54"/>
        <v>1.4533668205067058E-2</v>
      </c>
      <c r="I717">
        <f t="shared" si="55"/>
        <v>14533.668205067059</v>
      </c>
      <c r="J717">
        <f t="shared" si="56"/>
        <v>32498.270068957299</v>
      </c>
    </row>
    <row r="718" spans="1:10" x14ac:dyDescent="0.45">
      <c r="A718">
        <v>6.1420678321155719E-3</v>
      </c>
      <c r="B718">
        <f t="shared" si="59"/>
        <v>3.7724997254308883E-5</v>
      </c>
      <c r="F718">
        <f t="shared" si="57"/>
        <v>7.629069051301694E-5</v>
      </c>
      <c r="G718" s="1">
        <f t="shared" si="58"/>
        <v>8.7344542195272254E-3</v>
      </c>
      <c r="H718" s="1">
        <f t="shared" si="54"/>
        <v>1.4368177191122286E-2</v>
      </c>
      <c r="I718">
        <f t="shared" si="55"/>
        <v>14368.177191122286</v>
      </c>
      <c r="J718">
        <f t="shared" si="56"/>
        <v>32128.220912111421</v>
      </c>
    </row>
    <row r="719" spans="1:10" x14ac:dyDescent="0.45">
      <c r="A719">
        <v>-3.6541109693644103E-3</v>
      </c>
      <c r="B719">
        <f t="shared" si="59"/>
        <v>1.3352526976429309E-5</v>
      </c>
      <c r="F719">
        <f t="shared" si="57"/>
        <v>7.5040302511576783E-5</v>
      </c>
      <c r="G719" s="1">
        <f t="shared" si="58"/>
        <v>8.6625805919239088E-3</v>
      </c>
      <c r="H719" s="1">
        <f t="shared" si="54"/>
        <v>1.4249945073714829E-2</v>
      </c>
      <c r="I719">
        <f t="shared" si="55"/>
        <v>14249.945073714829</v>
      </c>
      <c r="J719">
        <f t="shared" si="56"/>
        <v>31863.845860464611</v>
      </c>
    </row>
    <row r="720" spans="1:10" x14ac:dyDescent="0.45">
      <c r="A720">
        <v>7.1596332418266684E-3</v>
      </c>
      <c r="B720">
        <f t="shared" si="59"/>
        <v>5.1260348157469448E-5</v>
      </c>
      <c r="F720">
        <f t="shared" si="57"/>
        <v>7.3189196752224952E-5</v>
      </c>
      <c r="G720" s="1">
        <f t="shared" si="58"/>
        <v>8.5550684831990059E-3</v>
      </c>
      <c r="H720" s="1">
        <f t="shared" si="54"/>
        <v>1.4073087654862365E-2</v>
      </c>
      <c r="I720">
        <f t="shared" si="55"/>
        <v>14073.087654862366</v>
      </c>
      <c r="J720">
        <f t="shared" si="56"/>
        <v>31468.38064958535</v>
      </c>
    </row>
    <row r="721" spans="1:10" x14ac:dyDescent="0.45">
      <c r="A721">
        <v>-1.5438536138390191E-2</v>
      </c>
      <c r="B721">
        <f t="shared" si="59"/>
        <v>2.3834839809637991E-4</v>
      </c>
      <c r="F721">
        <f t="shared" si="57"/>
        <v>7.2509213261336901E-5</v>
      </c>
      <c r="G721" s="1">
        <f t="shared" si="58"/>
        <v>8.5152341871105874E-3</v>
      </c>
      <c r="H721" s="1">
        <f t="shared" si="54"/>
        <v>1.4007560237796916E-2</v>
      </c>
      <c r="I721">
        <f t="shared" si="55"/>
        <v>14007.560237796917</v>
      </c>
      <c r="J721">
        <f t="shared" si="56"/>
        <v>31321.856890637027</v>
      </c>
    </row>
    <row r="722" spans="1:10" x14ac:dyDescent="0.45">
      <c r="A722">
        <v>2.8146314434707165E-2</v>
      </c>
      <c r="B722">
        <f t="shared" si="59"/>
        <v>7.922150162574049E-4</v>
      </c>
      <c r="F722">
        <f t="shared" si="57"/>
        <v>7.7458872358306268E-5</v>
      </c>
      <c r="G722" s="1">
        <f t="shared" si="58"/>
        <v>8.8010722277632892E-3</v>
      </c>
      <c r="H722" s="1">
        <f t="shared" si="54"/>
        <v>1.4477763814670612E-2</v>
      </c>
      <c r="I722">
        <f t="shared" si="55"/>
        <v>14477.763814670612</v>
      </c>
      <c r="J722">
        <f t="shared" si="56"/>
        <v>32373.264051790156</v>
      </c>
    </row>
    <row r="723" spans="1:10" x14ac:dyDescent="0.45">
      <c r="A723">
        <v>-1.5073601389303803E-2</v>
      </c>
      <c r="B723">
        <f t="shared" si="59"/>
        <v>2.2721345884362155E-4</v>
      </c>
      <c r="F723">
        <f t="shared" si="57"/>
        <v>9.8901302311442515E-5</v>
      </c>
      <c r="G723" s="1">
        <f t="shared" si="58"/>
        <v>9.9449133888356474E-3</v>
      </c>
      <c r="H723" s="1">
        <f t="shared" si="54"/>
        <v>1.635938252463464E-2</v>
      </c>
      <c r="I723">
        <f t="shared" si="55"/>
        <v>16359.382524634641</v>
      </c>
      <c r="J723">
        <f t="shared" si="56"/>
        <v>36580.691395005189</v>
      </c>
    </row>
    <row r="724" spans="1:10" x14ac:dyDescent="0.45">
      <c r="A724">
        <v>3.0063233680266421E-3</v>
      </c>
      <c r="B724">
        <f t="shared" si="59"/>
        <v>9.0379801931430539E-6</v>
      </c>
      <c r="F724">
        <f t="shared" si="57"/>
        <v>1.0272286334172764E-4</v>
      </c>
      <c r="G724" s="1">
        <f t="shared" si="58"/>
        <v>1.0135228825326423E-2</v>
      </c>
      <c r="H724" s="1">
        <f t="shared" si="54"/>
        <v>1.6672451417661965E-2</v>
      </c>
      <c r="I724">
        <f t="shared" si="55"/>
        <v>16672.451417661967</v>
      </c>
      <c r="J724">
        <f t="shared" si="56"/>
        <v>37280.734721454901</v>
      </c>
    </row>
    <row r="725" spans="1:10" x14ac:dyDescent="0.45">
      <c r="A725">
        <v>-1.9605795387178659E-2</v>
      </c>
      <c r="B725">
        <f t="shared" si="59"/>
        <v>3.84387212763916E-4</v>
      </c>
      <c r="F725">
        <f t="shared" si="57"/>
        <v>9.9863441060009834E-5</v>
      </c>
      <c r="G725" s="1">
        <f t="shared" si="58"/>
        <v>9.9931697203644969E-3</v>
      </c>
      <c r="H725" s="1">
        <f t="shared" si="54"/>
        <v>1.6438764189999597E-2</v>
      </c>
      <c r="I725">
        <f t="shared" si="55"/>
        <v>16438.764189999598</v>
      </c>
      <c r="J725">
        <f t="shared" si="56"/>
        <v>36758.194194928372</v>
      </c>
    </row>
    <row r="726" spans="1:10" x14ac:dyDescent="0.45">
      <c r="A726">
        <v>-1.2419923223205842E-2</v>
      </c>
      <c r="B726">
        <f t="shared" si="59"/>
        <v>1.5425449287032779E-4</v>
      </c>
      <c r="F726">
        <f t="shared" si="57"/>
        <v>1.0837329872149409E-4</v>
      </c>
      <c r="G726" s="1">
        <f t="shared" si="58"/>
        <v>1.0410249695444105E-2</v>
      </c>
      <c r="H726" s="1">
        <f t="shared" si="54"/>
        <v>1.7124860749005554E-2</v>
      </c>
      <c r="I726">
        <f t="shared" si="55"/>
        <v>17124.860749005555</v>
      </c>
      <c r="J726">
        <f t="shared" si="56"/>
        <v>38292.352739994385</v>
      </c>
    </row>
    <row r="727" spans="1:10" x14ac:dyDescent="0.45">
      <c r="A727">
        <v>1.9074741430813447E-2</v>
      </c>
      <c r="B727">
        <f t="shared" si="59"/>
        <v>3.6384576065239102E-4</v>
      </c>
      <c r="F727">
        <f t="shared" si="57"/>
        <v>1.097477062746966E-4</v>
      </c>
      <c r="G727" s="1">
        <f t="shared" si="58"/>
        <v>1.047605394577064E-2</v>
      </c>
      <c r="H727" s="1">
        <f t="shared" si="54"/>
        <v>1.7233108740792702E-2</v>
      </c>
      <c r="I727">
        <f t="shared" si="55"/>
        <v>17233.108740792701</v>
      </c>
      <c r="J727">
        <f t="shared" si="56"/>
        <v>38534.402608058284</v>
      </c>
    </row>
    <row r="728" spans="1:10" x14ac:dyDescent="0.45">
      <c r="A728">
        <v>-3.1025138014229015E-4</v>
      </c>
      <c r="B728">
        <f t="shared" si="59"/>
        <v>9.6255918880195828E-8</v>
      </c>
      <c r="F728">
        <f t="shared" si="57"/>
        <v>1.1736955798411857E-4</v>
      </c>
      <c r="G728" s="1">
        <f t="shared" si="58"/>
        <v>1.0833723181996048E-2</v>
      </c>
      <c r="H728" s="1">
        <f t="shared" si="54"/>
        <v>1.7821474634383501E-2</v>
      </c>
      <c r="I728">
        <f t="shared" si="55"/>
        <v>17821.4746343835</v>
      </c>
      <c r="J728">
        <f t="shared" si="56"/>
        <v>39850.028741769718</v>
      </c>
    </row>
    <row r="729" spans="1:10" x14ac:dyDescent="0.45">
      <c r="A729">
        <v>7.7940057963132858E-3</v>
      </c>
      <c r="B729">
        <f t="shared" si="59"/>
        <v>6.0746526352965097E-5</v>
      </c>
      <c r="F729">
        <f t="shared" si="57"/>
        <v>1.1365020751783535E-4</v>
      </c>
      <c r="G729" s="1">
        <f t="shared" si="58"/>
        <v>1.0660685133603532E-2</v>
      </c>
      <c r="H729" s="1">
        <f t="shared" si="54"/>
        <v>1.7536827044777811E-2</v>
      </c>
      <c r="I729">
        <f t="shared" si="55"/>
        <v>17536.827044777812</v>
      </c>
      <c r="J729">
        <f t="shared" si="56"/>
        <v>39213.537381779941</v>
      </c>
    </row>
    <row r="730" spans="1:10" x14ac:dyDescent="0.45">
      <c r="A730">
        <v>-3.6336814446258359E-3</v>
      </c>
      <c r="B730">
        <f t="shared" si="59"/>
        <v>1.3203640841018101E-5</v>
      </c>
      <c r="F730">
        <f t="shared" si="57"/>
        <v>1.1195589460242146E-4</v>
      </c>
      <c r="G730" s="1">
        <f t="shared" si="58"/>
        <v>1.058092125490127E-2</v>
      </c>
      <c r="H730" s="1">
        <f t="shared" ref="H730:H793" si="60">G730*$H$1</f>
        <v>1.7405615464312591E-2</v>
      </c>
      <c r="I730">
        <f t="shared" ref="I730:I793" si="61">H730*$K$1</f>
        <v>17405.615464312592</v>
      </c>
      <c r="J730">
        <f t="shared" ref="J730:J793" si="62">I730*SQRT($K$2)</f>
        <v>38920.139368424519</v>
      </c>
    </row>
    <row r="731" spans="1:10" x14ac:dyDescent="0.45">
      <c r="A731">
        <v>8.1973666965495795E-3</v>
      </c>
      <c r="B731">
        <f t="shared" si="59"/>
        <v>6.7196820757700165E-5</v>
      </c>
      <c r="F731">
        <f t="shared" ref="F731:F794" si="63">(1-$E$1)*SUMPRODUCT($E$2:$E$152,B580:B730)</f>
        <v>1.089925205699843E-4</v>
      </c>
      <c r="G731" s="1">
        <f t="shared" ref="G731:G794" si="64">SQRT(F731)</f>
        <v>1.043994830303217E-2</v>
      </c>
      <c r="H731" s="1">
        <f t="shared" si="60"/>
        <v>1.7173714958487921E-2</v>
      </c>
      <c r="I731">
        <f t="shared" si="61"/>
        <v>17173.714958487919</v>
      </c>
      <c r="J731">
        <f t="shared" si="62"/>
        <v>38401.594073383967</v>
      </c>
    </row>
    <row r="732" spans="1:10" x14ac:dyDescent="0.45">
      <c r="A732">
        <v>1.117307419917779E-2</v>
      </c>
      <c r="B732">
        <f t="shared" si="59"/>
        <v>1.2483758706033243E-4</v>
      </c>
      <c r="F732">
        <f t="shared" si="63"/>
        <v>1.0765784220399607E-4</v>
      </c>
      <c r="G732" s="1">
        <f t="shared" si="64"/>
        <v>1.0375829711593964E-2</v>
      </c>
      <c r="H732" s="1">
        <f t="shared" si="60"/>
        <v>1.7068239875572072E-2</v>
      </c>
      <c r="I732">
        <f t="shared" si="61"/>
        <v>17068.239875572071</v>
      </c>
      <c r="J732">
        <f t="shared" si="62"/>
        <v>38165.744618051707</v>
      </c>
    </row>
    <row r="733" spans="1:10" x14ac:dyDescent="0.45">
      <c r="A733">
        <v>-2.9407601687125862E-3</v>
      </c>
      <c r="B733">
        <f t="shared" si="59"/>
        <v>8.6480703698864782E-6</v>
      </c>
      <c r="F733">
        <f t="shared" si="63"/>
        <v>1.0815335677642606E-4</v>
      </c>
      <c r="G733" s="1">
        <f t="shared" si="64"/>
        <v>1.0399680609346908E-2</v>
      </c>
      <c r="H733" s="1">
        <f t="shared" si="60"/>
        <v>1.7107474602375664E-2</v>
      </c>
      <c r="I733">
        <f t="shared" si="61"/>
        <v>17107.474602375663</v>
      </c>
      <c r="J733">
        <f t="shared" si="62"/>
        <v>38253.476134263168</v>
      </c>
    </row>
    <row r="734" spans="1:10" x14ac:dyDescent="0.45">
      <c r="A734">
        <v>-7.2161583375418559E-4</v>
      </c>
      <c r="B734">
        <f t="shared" si="59"/>
        <v>5.2072941152474836E-7</v>
      </c>
      <c r="F734">
        <f t="shared" si="63"/>
        <v>1.0516770686803563E-4</v>
      </c>
      <c r="G734" s="1">
        <f t="shared" si="64"/>
        <v>1.0255130758212478E-2</v>
      </c>
      <c r="H734" s="1">
        <f t="shared" si="60"/>
        <v>1.6869690097259527E-2</v>
      </c>
      <c r="I734">
        <f t="shared" si="61"/>
        <v>16869.690097259525</v>
      </c>
      <c r="J734">
        <f t="shared" si="62"/>
        <v>37721.773816827335</v>
      </c>
    </row>
    <row r="735" spans="1:10" x14ac:dyDescent="0.45">
      <c r="A735">
        <v>-6.9350789999589324E-3</v>
      </c>
      <c r="B735">
        <f t="shared" si="59"/>
        <v>4.8095320735671386E-5</v>
      </c>
      <c r="F735">
        <f t="shared" si="63"/>
        <v>1.0197298940063448E-4</v>
      </c>
      <c r="G735" s="1">
        <f t="shared" si="64"/>
        <v>1.0098167625893051E-2</v>
      </c>
      <c r="H735" s="1">
        <f t="shared" si="60"/>
        <v>1.6611485744594069E-2</v>
      </c>
      <c r="I735">
        <f t="shared" si="61"/>
        <v>16611.485744594069</v>
      </c>
      <c r="J735">
        <f t="shared" si="62"/>
        <v>37144.411332181051</v>
      </c>
    </row>
    <row r="736" spans="1:10" x14ac:dyDescent="0.45">
      <c r="A736">
        <v>6.999698598519899E-5</v>
      </c>
      <c r="B736">
        <f t="shared" si="59"/>
        <v>4.8995780470121438E-9</v>
      </c>
      <c r="F736">
        <f t="shared" si="63"/>
        <v>1.0035664474243663E-4</v>
      </c>
      <c r="G736" s="1">
        <f t="shared" si="64"/>
        <v>1.0017816365977001E-2</v>
      </c>
      <c r="H736" s="1">
        <f t="shared" si="60"/>
        <v>1.6479307922032168E-2</v>
      </c>
      <c r="I736">
        <f t="shared" si="61"/>
        <v>16479.307922032167</v>
      </c>
      <c r="J736">
        <f t="shared" si="62"/>
        <v>36848.852735814733</v>
      </c>
    </row>
    <row r="737" spans="1:10" x14ac:dyDescent="0.45">
      <c r="A737">
        <v>-9.1888523456873372E-4</v>
      </c>
      <c r="B737">
        <f t="shared" si="59"/>
        <v>8.4435007430843674E-7</v>
      </c>
      <c r="F737">
        <f t="shared" si="63"/>
        <v>9.7345991482757573E-5</v>
      </c>
      <c r="G737" s="1">
        <f t="shared" si="64"/>
        <v>9.8664072226296012E-3</v>
      </c>
      <c r="H737" s="1">
        <f t="shared" si="60"/>
        <v>1.6230239881225694E-2</v>
      </c>
      <c r="I737">
        <f t="shared" si="61"/>
        <v>16230.239881225694</v>
      </c>
      <c r="J737">
        <f t="shared" si="62"/>
        <v>36291.919665548769</v>
      </c>
    </row>
    <row r="738" spans="1:10" x14ac:dyDescent="0.45">
      <c r="A738">
        <v>-8.5667579696746543E-4</v>
      </c>
      <c r="B738">
        <f t="shared" si="59"/>
        <v>7.33893421109842E-7</v>
      </c>
      <c r="F738">
        <f t="shared" si="63"/>
        <v>9.444889161951028E-5</v>
      </c>
      <c r="G738" s="1">
        <f t="shared" si="64"/>
        <v>9.7184819606515854E-3</v>
      </c>
      <c r="H738" s="1">
        <f t="shared" si="60"/>
        <v>1.5986902825271859E-2</v>
      </c>
      <c r="I738">
        <f t="shared" si="61"/>
        <v>15986.902825271858</v>
      </c>
      <c r="J738">
        <f t="shared" si="62"/>
        <v>35747.801466991317</v>
      </c>
    </row>
    <row r="739" spans="1:10" x14ac:dyDescent="0.45">
      <c r="A739">
        <v>-2.0552215573843569E-2</v>
      </c>
      <c r="B739">
        <f t="shared" si="59"/>
        <v>4.2239356499373812E-4</v>
      </c>
      <c r="F739">
        <f t="shared" si="63"/>
        <v>9.1592484001741653E-5</v>
      </c>
      <c r="G739" s="1">
        <f t="shared" si="64"/>
        <v>9.5703962301328799E-3</v>
      </c>
      <c r="H739" s="1">
        <f t="shared" si="60"/>
        <v>1.5743301798568587E-2</v>
      </c>
      <c r="I739">
        <f t="shared" si="61"/>
        <v>15743.301798568587</v>
      </c>
      <c r="J739">
        <f t="shared" si="62"/>
        <v>35203.093011894067</v>
      </c>
    </row>
    <row r="740" spans="1:10" x14ac:dyDescent="0.45">
      <c r="A740">
        <v>7.5538082455750555E-4</v>
      </c>
      <c r="B740">
        <f t="shared" si="59"/>
        <v>5.7060019010917698E-7</v>
      </c>
      <c r="F740">
        <f t="shared" si="63"/>
        <v>1.0149497912435842E-4</v>
      </c>
      <c r="G740" s="1">
        <f t="shared" si="64"/>
        <v>1.0074471654849123E-2</v>
      </c>
      <c r="H740" s="1">
        <f t="shared" si="60"/>
        <v>1.6572505872226806E-2</v>
      </c>
      <c r="I740">
        <f t="shared" si="61"/>
        <v>16572.505872226808</v>
      </c>
      <c r="J740">
        <f t="shared" si="62"/>
        <v>37057.249687813586</v>
      </c>
    </row>
    <row r="741" spans="1:10" x14ac:dyDescent="0.45">
      <c r="A741">
        <v>-2.2334461391437799E-3</v>
      </c>
      <c r="B741">
        <f t="shared" si="59"/>
        <v>4.9882816564562565E-6</v>
      </c>
      <c r="F741">
        <f t="shared" si="63"/>
        <v>9.8448598117247343E-5</v>
      </c>
      <c r="G741" s="1">
        <f t="shared" si="64"/>
        <v>9.9221266932672924E-3</v>
      </c>
      <c r="H741" s="1">
        <f t="shared" si="60"/>
        <v>1.6321898410424696E-2</v>
      </c>
      <c r="I741">
        <f t="shared" si="61"/>
        <v>16321.898410424696</v>
      </c>
      <c r="J741">
        <f t="shared" si="62"/>
        <v>36496.874367555385</v>
      </c>
    </row>
    <row r="742" spans="1:10" x14ac:dyDescent="0.45">
      <c r="A742">
        <v>-6.9535644797724672E-3</v>
      </c>
      <c r="B742">
        <f t="shared" si="59"/>
        <v>4.8352058974353342E-5</v>
      </c>
      <c r="F742">
        <f t="shared" si="63"/>
        <v>9.5641280119191529E-5</v>
      </c>
      <c r="G742" s="1">
        <f t="shared" si="64"/>
        <v>9.7796359911395229E-3</v>
      </c>
      <c r="H742" s="1">
        <f t="shared" si="60"/>
        <v>1.6087501205424515E-2</v>
      </c>
      <c r="I742">
        <f t="shared" si="61"/>
        <v>16087.501205424514</v>
      </c>
      <c r="J742">
        <f t="shared" si="62"/>
        <v>35972.746283439024</v>
      </c>
    </row>
    <row r="743" spans="1:10" x14ac:dyDescent="0.45">
      <c r="A743">
        <v>4.7294861360569485E-3</v>
      </c>
      <c r="B743">
        <f t="shared" si="59"/>
        <v>2.2368039111154883E-5</v>
      </c>
      <c r="F743">
        <f t="shared" si="63"/>
        <v>9.4222203073176283E-5</v>
      </c>
      <c r="G743" s="1">
        <f t="shared" si="64"/>
        <v>9.7068121993359024E-3</v>
      </c>
      <c r="H743" s="1">
        <f t="shared" si="60"/>
        <v>1.596770606790756E-2</v>
      </c>
      <c r="I743">
        <f t="shared" si="61"/>
        <v>15967.70606790756</v>
      </c>
      <c r="J743">
        <f t="shared" si="62"/>
        <v>35704.876212577183</v>
      </c>
    </row>
    <row r="744" spans="1:10" x14ac:dyDescent="0.45">
      <c r="A744">
        <v>1.9929575501009822E-2</v>
      </c>
      <c r="B744">
        <f t="shared" si="59"/>
        <v>3.9718797965045089E-4</v>
      </c>
      <c r="F744">
        <f t="shared" si="63"/>
        <v>9.2062401382257618E-5</v>
      </c>
      <c r="G744" s="1">
        <f t="shared" si="64"/>
        <v>9.5949153921364837E-3</v>
      </c>
      <c r="H744" s="1">
        <f t="shared" si="60"/>
        <v>1.5783635820064517E-2</v>
      </c>
      <c r="I744">
        <f t="shared" si="61"/>
        <v>15783.635820064517</v>
      </c>
      <c r="J744">
        <f t="shared" si="62"/>
        <v>35293.282625764899</v>
      </c>
    </row>
    <row r="745" spans="1:10" x14ac:dyDescent="0.45">
      <c r="A745">
        <v>6.5184622144442983E-4</v>
      </c>
      <c r="B745">
        <f t="shared" si="59"/>
        <v>4.2490349641138064E-7</v>
      </c>
      <c r="F745">
        <f t="shared" si="63"/>
        <v>1.012107383395293E-4</v>
      </c>
      <c r="G745" s="1">
        <f t="shared" si="64"/>
        <v>1.0060354781991005E-2</v>
      </c>
      <c r="H745" s="1">
        <f t="shared" si="60"/>
        <v>1.6549283616375206E-2</v>
      </c>
      <c r="I745">
        <f t="shared" si="61"/>
        <v>16549.283616375207</v>
      </c>
      <c r="J745">
        <f t="shared" si="62"/>
        <v>37005.323145138515</v>
      </c>
    </row>
    <row r="746" spans="1:10" x14ac:dyDescent="0.45">
      <c r="A746">
        <v>-5.8037358030560426E-3</v>
      </c>
      <c r="B746">
        <f t="shared" si="59"/>
        <v>3.3683349271674566E-5</v>
      </c>
      <c r="F746">
        <f t="shared" si="63"/>
        <v>9.8137621446612688E-5</v>
      </c>
      <c r="G746" s="1">
        <f t="shared" si="64"/>
        <v>9.9064434307481256E-3</v>
      </c>
      <c r="H746" s="1">
        <f t="shared" si="60"/>
        <v>1.6296099443580667E-2</v>
      </c>
      <c r="I746">
        <f t="shared" si="61"/>
        <v>16296.099443580666</v>
      </c>
      <c r="J746">
        <f t="shared" si="62"/>
        <v>36439.186123942869</v>
      </c>
    </row>
    <row r="747" spans="1:10" x14ac:dyDescent="0.45">
      <c r="A747">
        <v>-8.5713736552861519E-3</v>
      </c>
      <c r="B747">
        <f t="shared" si="59"/>
        <v>7.3468446338533484E-5</v>
      </c>
      <c r="F747">
        <f t="shared" si="63"/>
        <v>9.6145172654539315E-5</v>
      </c>
      <c r="G747" s="1">
        <f t="shared" si="64"/>
        <v>9.8053644835130582E-3</v>
      </c>
      <c r="H747" s="1">
        <f t="shared" si="60"/>
        <v>1.6129824575378982E-2</v>
      </c>
      <c r="I747">
        <f t="shared" si="61"/>
        <v>16129.824575378982</v>
      </c>
      <c r="J747">
        <f t="shared" si="62"/>
        <v>36067.384215694088</v>
      </c>
    </row>
    <row r="748" spans="1:10" x14ac:dyDescent="0.45">
      <c r="A748">
        <v>-6.6136635723523796E-3</v>
      </c>
      <c r="B748">
        <f t="shared" si="59"/>
        <v>4.3740545848260836E-5</v>
      </c>
      <c r="F748">
        <f t="shared" si="63"/>
        <v>9.5448936299033326E-5</v>
      </c>
      <c r="G748" s="1">
        <f t="shared" si="64"/>
        <v>9.7697971472816836E-3</v>
      </c>
      <c r="H748" s="1">
        <f t="shared" si="60"/>
        <v>1.6071316307278368E-2</v>
      </c>
      <c r="I748">
        <f t="shared" si="61"/>
        <v>16071.316307278368</v>
      </c>
      <c r="J748">
        <f t="shared" si="62"/>
        <v>35936.555750975334</v>
      </c>
    </row>
    <row r="749" spans="1:10" x14ac:dyDescent="0.45">
      <c r="A749">
        <v>-1.0554754226177465E-2</v>
      </c>
      <c r="B749">
        <f t="shared" si="59"/>
        <v>1.1140283677501106E-4</v>
      </c>
      <c r="F749">
        <f t="shared" si="63"/>
        <v>9.384874276205435E-5</v>
      </c>
      <c r="G749" s="1">
        <f t="shared" si="64"/>
        <v>9.6875560778792065E-3</v>
      </c>
      <c r="H749" s="1">
        <f t="shared" si="60"/>
        <v>1.5936029748111296E-2</v>
      </c>
      <c r="I749">
        <f t="shared" si="61"/>
        <v>15936.029748111296</v>
      </c>
      <c r="J749">
        <f t="shared" si="62"/>
        <v>35634.045808235707</v>
      </c>
    </row>
    <row r="750" spans="1:10" x14ac:dyDescent="0.45">
      <c r="A750">
        <v>-4.0587337934994139E-3</v>
      </c>
      <c r="B750">
        <f t="shared" si="59"/>
        <v>1.6473320006494142E-5</v>
      </c>
      <c r="F750">
        <f t="shared" si="63"/>
        <v>9.435732089720199E-5</v>
      </c>
      <c r="G750" s="1">
        <f t="shared" si="64"/>
        <v>9.7137696543207162E-3</v>
      </c>
      <c r="H750" s="1">
        <f t="shared" si="60"/>
        <v>1.5979151081357577E-2</v>
      </c>
      <c r="I750">
        <f t="shared" si="61"/>
        <v>15979.151081357577</v>
      </c>
      <c r="J750">
        <f t="shared" si="62"/>
        <v>35730.468040654814</v>
      </c>
    </row>
    <row r="751" spans="1:10" x14ac:dyDescent="0.45">
      <c r="A751">
        <v>-1.929333848238457E-3</v>
      </c>
      <c r="B751">
        <f t="shared" si="59"/>
        <v>3.7223290979586134E-6</v>
      </c>
      <c r="F751">
        <f t="shared" si="63"/>
        <v>9.2017560077377065E-5</v>
      </c>
      <c r="G751" s="1">
        <f t="shared" si="64"/>
        <v>9.5925783852610271E-3</v>
      </c>
      <c r="H751" s="1">
        <f t="shared" si="60"/>
        <v>1.5779791443754389E-2</v>
      </c>
      <c r="I751">
        <f t="shared" si="61"/>
        <v>15779.79144375439</v>
      </c>
      <c r="J751">
        <f t="shared" si="62"/>
        <v>35284.686339004365</v>
      </c>
    </row>
    <row r="752" spans="1:10" x14ac:dyDescent="0.45">
      <c r="A752">
        <v>8.8395381681038998E-3</v>
      </c>
      <c r="B752">
        <f t="shared" si="59"/>
        <v>7.8137435025365653E-5</v>
      </c>
      <c r="F752">
        <f t="shared" si="63"/>
        <v>8.9356595280551743E-5</v>
      </c>
      <c r="G752" s="1">
        <f t="shared" si="64"/>
        <v>9.4528617508430612E-3</v>
      </c>
      <c r="H752" s="1">
        <f t="shared" si="60"/>
        <v>1.5549957580136836E-2</v>
      </c>
      <c r="I752">
        <f t="shared" si="61"/>
        <v>15549.957580136836</v>
      </c>
      <c r="J752">
        <f t="shared" si="62"/>
        <v>34770.762196424097</v>
      </c>
    </row>
    <row r="753" spans="1:10" x14ac:dyDescent="0.45">
      <c r="A753">
        <v>-4.8135007091332227E-3</v>
      </c>
      <c r="B753">
        <f t="shared" si="59"/>
        <v>2.3169789076826037E-5</v>
      </c>
      <c r="F753">
        <f t="shared" si="63"/>
        <v>8.8917043114634288E-5</v>
      </c>
      <c r="G753" s="1">
        <f t="shared" si="64"/>
        <v>9.4295834009055935E-3</v>
      </c>
      <c r="H753" s="1">
        <f t="shared" si="60"/>
        <v>1.5511664694489702E-2</v>
      </c>
      <c r="I753">
        <f t="shared" si="61"/>
        <v>15511.664694489702</v>
      </c>
      <c r="J753">
        <f t="shared" si="62"/>
        <v>34685.136701062482</v>
      </c>
    </row>
    <row r="754" spans="1:10" x14ac:dyDescent="0.45">
      <c r="A754">
        <v>2.9239799914648756E-3</v>
      </c>
      <c r="B754">
        <f t="shared" si="59"/>
        <v>8.549658990486934E-6</v>
      </c>
      <c r="F754">
        <f t="shared" si="63"/>
        <v>8.686111424131028E-5</v>
      </c>
      <c r="G754" s="1">
        <f t="shared" si="64"/>
        <v>9.3199310212742602E-3</v>
      </c>
      <c r="H754" s="1">
        <f t="shared" si="60"/>
        <v>1.5331286529996158E-2</v>
      </c>
      <c r="I754">
        <f t="shared" si="61"/>
        <v>15331.286529996158</v>
      </c>
      <c r="J754">
        <f t="shared" si="62"/>
        <v>34281.798863598277</v>
      </c>
    </row>
    <row r="755" spans="1:10" x14ac:dyDescent="0.45">
      <c r="A755">
        <v>-4.0612349039292894E-3</v>
      </c>
      <c r="B755">
        <f t="shared" si="59"/>
        <v>1.6493628944893544E-5</v>
      </c>
      <c r="F755">
        <f t="shared" si="63"/>
        <v>8.4511770450305338E-5</v>
      </c>
      <c r="G755" s="1">
        <f t="shared" si="64"/>
        <v>9.1930283612259855E-3</v>
      </c>
      <c r="H755" s="1">
        <f t="shared" si="60"/>
        <v>1.5122531654216747E-2</v>
      </c>
      <c r="I755">
        <f t="shared" si="61"/>
        <v>15122.531654216746</v>
      </c>
      <c r="J755">
        <f t="shared" si="62"/>
        <v>33815.00877072099</v>
      </c>
    </row>
    <row r="756" spans="1:10" x14ac:dyDescent="0.45">
      <c r="A756">
        <v>2.6702082323026843E-3</v>
      </c>
      <c r="B756">
        <f t="shared" si="59"/>
        <v>7.1300120038570262E-6</v>
      </c>
      <c r="F756">
        <f t="shared" si="63"/>
        <v>8.247114956968169E-5</v>
      </c>
      <c r="G756" s="1">
        <f t="shared" si="64"/>
        <v>9.081362759502656E-3</v>
      </c>
      <c r="H756" s="1">
        <f t="shared" si="60"/>
        <v>1.493884173938187E-2</v>
      </c>
      <c r="I756">
        <f t="shared" si="61"/>
        <v>14938.841739381869</v>
      </c>
      <c r="J756">
        <f t="shared" si="62"/>
        <v>33404.265634369061</v>
      </c>
    </row>
    <row r="757" spans="1:10" x14ac:dyDescent="0.45">
      <c r="A757">
        <v>-2.6085035642609E-2</v>
      </c>
      <c r="B757">
        <f t="shared" si="59"/>
        <v>6.8042908447618188E-4</v>
      </c>
      <c r="F757">
        <f t="shared" si="63"/>
        <v>8.0189109156956383E-5</v>
      </c>
      <c r="G757" s="1">
        <f t="shared" si="64"/>
        <v>8.9548371932133067E-3</v>
      </c>
      <c r="H757" s="1">
        <f t="shared" si="60"/>
        <v>1.473070718283589E-2</v>
      </c>
      <c r="I757">
        <f t="shared" si="61"/>
        <v>14730.707182835889</v>
      </c>
      <c r="J757">
        <f t="shared" si="62"/>
        <v>32938.862617465471</v>
      </c>
    </row>
    <row r="758" spans="1:10" x14ac:dyDescent="0.45">
      <c r="A758">
        <v>-9.4043343779048882E-3</v>
      </c>
      <c r="B758">
        <f t="shared" si="59"/>
        <v>8.8441505091443716E-5</v>
      </c>
      <c r="F758">
        <f t="shared" si="63"/>
        <v>9.8162220819376686E-5</v>
      </c>
      <c r="G758" s="1">
        <f t="shared" si="64"/>
        <v>9.9076849374299687E-3</v>
      </c>
      <c r="H758" s="1">
        <f t="shared" si="60"/>
        <v>1.62981417220723E-2</v>
      </c>
      <c r="I758">
        <f t="shared" si="61"/>
        <v>16298.1417220723</v>
      </c>
      <c r="J758">
        <f t="shared" si="62"/>
        <v>36443.752797479152</v>
      </c>
    </row>
    <row r="759" spans="1:10" x14ac:dyDescent="0.45">
      <c r="A759">
        <v>-6.0444335758802481E-3</v>
      </c>
      <c r="B759">
        <f t="shared" si="59"/>
        <v>3.6535177253228481E-5</v>
      </c>
      <c r="F759">
        <f t="shared" si="63"/>
        <v>9.7867942757348428E-5</v>
      </c>
      <c r="G759" s="1">
        <f t="shared" si="64"/>
        <v>9.8928227901518805E-3</v>
      </c>
      <c r="H759" s="1">
        <f t="shared" si="60"/>
        <v>1.6273693489799842E-2</v>
      </c>
      <c r="I759">
        <f t="shared" si="61"/>
        <v>16273.693489799842</v>
      </c>
      <c r="J759">
        <f t="shared" si="62"/>
        <v>36389.084888188227</v>
      </c>
    </row>
    <row r="760" spans="1:10" x14ac:dyDescent="0.45">
      <c r="A760">
        <v>9.296400094171986E-4</v>
      </c>
      <c r="B760">
        <f t="shared" si="59"/>
        <v>8.642305471092091E-7</v>
      </c>
      <c r="F760">
        <f t="shared" si="63"/>
        <v>9.6006566921615855E-5</v>
      </c>
      <c r="G760" s="1">
        <f t="shared" si="64"/>
        <v>9.7982940822173657E-3</v>
      </c>
      <c r="H760" s="1">
        <f t="shared" si="60"/>
        <v>1.6118193765247566E-2</v>
      </c>
      <c r="I760">
        <f t="shared" si="61"/>
        <v>16118.193765247566</v>
      </c>
      <c r="J760">
        <f t="shared" si="62"/>
        <v>36041.376933606851</v>
      </c>
    </row>
    <row r="761" spans="1:10" x14ac:dyDescent="0.45">
      <c r="A761">
        <v>-2.0971810954506509E-3</v>
      </c>
      <c r="B761">
        <f t="shared" si="59"/>
        <v>4.3981685471155921E-6</v>
      </c>
      <c r="F761">
        <f t="shared" si="63"/>
        <v>9.3116114275006945E-5</v>
      </c>
      <c r="G761" s="1">
        <f t="shared" si="64"/>
        <v>9.649669127747694E-3</v>
      </c>
      <c r="H761" s="1">
        <f t="shared" si="60"/>
        <v>1.5873705715144956E-2</v>
      </c>
      <c r="I761">
        <f t="shared" si="61"/>
        <v>15873.705715144955</v>
      </c>
      <c r="J761">
        <f t="shared" si="62"/>
        <v>35494.685033891037</v>
      </c>
    </row>
    <row r="762" spans="1:10" x14ac:dyDescent="0.45">
      <c r="A762">
        <v>-9.0507001004880294E-3</v>
      </c>
      <c r="B762">
        <f t="shared" si="59"/>
        <v>8.1915172308974032E-5</v>
      </c>
      <c r="F762">
        <f t="shared" si="63"/>
        <v>9.0394311746613539E-5</v>
      </c>
      <c r="G762" s="1">
        <f t="shared" si="64"/>
        <v>9.5075923212248406E-3</v>
      </c>
      <c r="H762" s="1">
        <f t="shared" si="60"/>
        <v>1.5639989368414865E-2</v>
      </c>
      <c r="I762">
        <f t="shared" si="61"/>
        <v>15639.989368414865</v>
      </c>
      <c r="J762">
        <f t="shared" si="62"/>
        <v>34972.079395149638</v>
      </c>
    </row>
    <row r="763" spans="1:10" x14ac:dyDescent="0.45">
      <c r="A763">
        <v>1.2747477740049362E-2</v>
      </c>
      <c r="B763">
        <f t="shared" si="59"/>
        <v>1.6249818873305399E-4</v>
      </c>
      <c r="F763">
        <f t="shared" si="63"/>
        <v>9.0133226929357357E-5</v>
      </c>
      <c r="G763" s="1">
        <f t="shared" si="64"/>
        <v>9.493852059588739E-3</v>
      </c>
      <c r="H763" s="1">
        <f t="shared" si="60"/>
        <v>1.5617386638023477E-2</v>
      </c>
      <c r="I763">
        <f t="shared" si="61"/>
        <v>15617.386638023476</v>
      </c>
      <c r="J763">
        <f t="shared" si="62"/>
        <v>34921.538153517395</v>
      </c>
    </row>
    <row r="764" spans="1:10" x14ac:dyDescent="0.45">
      <c r="A764">
        <v>5.1468305173330009E-4</v>
      </c>
      <c r="B764">
        <f t="shared" si="59"/>
        <v>2.6489864374150286E-7</v>
      </c>
      <c r="F764">
        <f t="shared" si="63"/>
        <v>9.22881141757484E-5</v>
      </c>
      <c r="G764" s="1">
        <f t="shared" si="64"/>
        <v>9.6066702959843684E-3</v>
      </c>
      <c r="H764" s="1">
        <f t="shared" si="60"/>
        <v>1.5802972636894286E-2</v>
      </c>
      <c r="I764">
        <f t="shared" si="61"/>
        <v>15802.972636894287</v>
      </c>
      <c r="J764">
        <f t="shared" si="62"/>
        <v>35336.521062664724</v>
      </c>
    </row>
    <row r="765" spans="1:10" x14ac:dyDescent="0.45">
      <c r="A765">
        <v>-2.1402115635282826E-3</v>
      </c>
      <c r="B765">
        <f t="shared" si="59"/>
        <v>4.580505536660176E-6</v>
      </c>
      <c r="F765">
        <f t="shared" si="63"/>
        <v>8.9520803983973713E-5</v>
      </c>
      <c r="G765" s="1">
        <f t="shared" si="64"/>
        <v>9.461543425042962E-3</v>
      </c>
      <c r="H765" s="1">
        <f t="shared" si="60"/>
        <v>1.5564238934195673E-2</v>
      </c>
      <c r="I765">
        <f t="shared" si="61"/>
        <v>15564.238934195673</v>
      </c>
      <c r="J765">
        <f t="shared" si="62"/>
        <v>34802.696274910406</v>
      </c>
    </row>
    <row r="766" spans="1:10" x14ac:dyDescent="0.45">
      <c r="A766">
        <v>6.4837877289392054E-3</v>
      </c>
      <c r="B766">
        <f t="shared" si="59"/>
        <v>4.2039503313942616E-5</v>
      </c>
      <c r="F766">
        <f t="shared" si="63"/>
        <v>8.6766911822770069E-5</v>
      </c>
      <c r="G766" s="1">
        <f t="shared" si="64"/>
        <v>9.3148758350699492E-3</v>
      </c>
      <c r="H766" s="1">
        <f t="shared" si="60"/>
        <v>1.5322970748690067E-2</v>
      </c>
      <c r="I766">
        <f t="shared" si="61"/>
        <v>15322.970748690066</v>
      </c>
      <c r="J766">
        <f t="shared" si="62"/>
        <v>34263.204211311837</v>
      </c>
    </row>
    <row r="767" spans="1:10" x14ac:dyDescent="0.45">
      <c r="A767">
        <v>-3.6026449379278347E-3</v>
      </c>
      <c r="B767">
        <f t="shared" si="59"/>
        <v>1.2979050548777052E-5</v>
      </c>
      <c r="F767">
        <f t="shared" si="63"/>
        <v>8.5417624331984263E-5</v>
      </c>
      <c r="G767" s="1">
        <f t="shared" si="64"/>
        <v>9.2421655650601862E-3</v>
      </c>
      <c r="H767" s="1">
        <f t="shared" si="60"/>
        <v>1.5203362354524007E-2</v>
      </c>
      <c r="I767">
        <f t="shared" si="61"/>
        <v>15203.362354524008</v>
      </c>
      <c r="J767">
        <f t="shared" si="62"/>
        <v>33995.751711276942</v>
      </c>
    </row>
    <row r="768" spans="1:10" x14ac:dyDescent="0.45">
      <c r="A768">
        <v>-4.3849013309227303E-3</v>
      </c>
      <c r="B768">
        <f t="shared" si="59"/>
        <v>1.9227359681927933E-5</v>
      </c>
      <c r="F768">
        <f t="shared" si="63"/>
        <v>8.3239589298839294E-5</v>
      </c>
      <c r="G768" s="1">
        <f t="shared" si="64"/>
        <v>9.123573274701053E-3</v>
      </c>
      <c r="H768" s="1">
        <f t="shared" si="60"/>
        <v>1.5008278036883232E-2</v>
      </c>
      <c r="I768">
        <f t="shared" si="61"/>
        <v>15008.278036883232</v>
      </c>
      <c r="J768">
        <f t="shared" si="62"/>
        <v>33559.529915688006</v>
      </c>
    </row>
    <row r="769" spans="1:10" x14ac:dyDescent="0.45">
      <c r="A769">
        <v>2.5269969228247646E-3</v>
      </c>
      <c r="B769">
        <f t="shared" si="59"/>
        <v>6.3857134479658292E-6</v>
      </c>
      <c r="F769">
        <f t="shared" si="63"/>
        <v>8.1312340113859666E-5</v>
      </c>
      <c r="G769" s="1">
        <f t="shared" si="64"/>
        <v>9.0173355329531604E-3</v>
      </c>
      <c r="H769" s="1">
        <f t="shared" si="60"/>
        <v>1.4833516951707948E-2</v>
      </c>
      <c r="I769">
        <f t="shared" si="61"/>
        <v>14833.516951707948</v>
      </c>
      <c r="J769">
        <f t="shared" si="62"/>
        <v>33168.752249414436</v>
      </c>
    </row>
    <row r="770" spans="1:10" x14ac:dyDescent="0.45">
      <c r="A770">
        <v>7.6077640187577344E-3</v>
      </c>
      <c r="B770">
        <f t="shared" si="59"/>
        <v>5.7878073365104834E-5</v>
      </c>
      <c r="F770">
        <f t="shared" si="63"/>
        <v>7.9054259458055469E-5</v>
      </c>
      <c r="G770" s="1">
        <f t="shared" si="64"/>
        <v>8.8912462263765635E-3</v>
      </c>
      <c r="H770" s="1">
        <f t="shared" si="60"/>
        <v>1.4626100042389447E-2</v>
      </c>
      <c r="I770">
        <f t="shared" si="61"/>
        <v>14626.100042389447</v>
      </c>
      <c r="J770">
        <f t="shared" si="62"/>
        <v>32704.953940495361</v>
      </c>
    </row>
    <row r="771" spans="1:10" x14ac:dyDescent="0.45">
      <c r="A771">
        <v>-8.6267164078890346E-3</v>
      </c>
      <c r="B771">
        <f t="shared" ref="B771:B834" si="65">A771^2</f>
        <v>7.442023598214189E-5</v>
      </c>
      <c r="F771">
        <f t="shared" si="63"/>
        <v>7.8358656378460547E-5</v>
      </c>
      <c r="G771" s="1">
        <f t="shared" si="64"/>
        <v>8.8520424975516553E-3</v>
      </c>
      <c r="H771" s="1">
        <f t="shared" si="60"/>
        <v>1.4561609908472474E-2</v>
      </c>
      <c r="I771">
        <f t="shared" si="61"/>
        <v>14561.609908472474</v>
      </c>
      <c r="J771">
        <f t="shared" si="62"/>
        <v>32560.749617178943</v>
      </c>
    </row>
    <row r="772" spans="1:10" x14ac:dyDescent="0.45">
      <c r="A772">
        <v>1.2339251043158583E-2</v>
      </c>
      <c r="B772">
        <f t="shared" si="65"/>
        <v>1.5225711630609018E-4</v>
      </c>
      <c r="F772">
        <f t="shared" si="63"/>
        <v>7.8216967549491791E-5</v>
      </c>
      <c r="G772" s="1">
        <f t="shared" si="64"/>
        <v>8.8440357048969326E-3</v>
      </c>
      <c r="H772" s="1">
        <f t="shared" si="60"/>
        <v>1.4548438734555455E-2</v>
      </c>
      <c r="I772">
        <f t="shared" si="61"/>
        <v>14548.438734555455</v>
      </c>
      <c r="J772">
        <f t="shared" si="62"/>
        <v>32531.297976957019</v>
      </c>
    </row>
    <row r="773" spans="1:10" x14ac:dyDescent="0.45">
      <c r="A773">
        <v>-1.5007253750809468E-2</v>
      </c>
      <c r="B773">
        <f t="shared" si="65"/>
        <v>2.2521766514118486E-4</v>
      </c>
      <c r="F773">
        <f t="shared" si="63"/>
        <v>8.0330866049935378E-5</v>
      </c>
      <c r="G773" s="1">
        <f t="shared" si="64"/>
        <v>8.9627487998903202E-3</v>
      </c>
      <c r="H773" s="1">
        <f t="shared" si="60"/>
        <v>1.4743721775819577E-2</v>
      </c>
      <c r="I773">
        <f t="shared" si="61"/>
        <v>14743.721775819577</v>
      </c>
      <c r="J773">
        <f t="shared" si="62"/>
        <v>32967.964132076493</v>
      </c>
    </row>
    <row r="774" spans="1:10" x14ac:dyDescent="0.45">
      <c r="A774">
        <v>1.2251302905497141E-2</v>
      </c>
      <c r="B774">
        <f t="shared" si="65"/>
        <v>1.5009442288224268E-4</v>
      </c>
      <c r="F774">
        <f t="shared" si="63"/>
        <v>8.467055804034462E-5</v>
      </c>
      <c r="G774" s="1">
        <f t="shared" si="64"/>
        <v>9.2016606131906774E-3</v>
      </c>
      <c r="H774" s="1">
        <f t="shared" si="60"/>
        <v>1.5136731708698664E-2</v>
      </c>
      <c r="I774">
        <f t="shared" si="61"/>
        <v>15136.731708698664</v>
      </c>
      <c r="J774">
        <f t="shared" si="62"/>
        <v>33846.761057826756</v>
      </c>
    </row>
    <row r="775" spans="1:10" x14ac:dyDescent="0.45">
      <c r="A775">
        <v>-1.9223307390348054E-3</v>
      </c>
      <c r="B775">
        <f t="shared" si="65"/>
        <v>3.6953554702381012E-6</v>
      </c>
      <c r="F775">
        <f t="shared" si="63"/>
        <v>8.6632534168629353E-5</v>
      </c>
      <c r="G775" s="1">
        <f t="shared" si="64"/>
        <v>9.3076599727659453E-3</v>
      </c>
      <c r="H775" s="1">
        <f t="shared" si="60"/>
        <v>1.531110065519998E-2</v>
      </c>
      <c r="I775">
        <f t="shared" si="61"/>
        <v>15311.10065519998</v>
      </c>
      <c r="J775">
        <f t="shared" si="62"/>
        <v>34236.661875368729</v>
      </c>
    </row>
    <row r="776" spans="1:10" x14ac:dyDescent="0.45">
      <c r="A776">
        <v>-9.8767259260057472E-3</v>
      </c>
      <c r="B776">
        <f t="shared" si="65"/>
        <v>9.7549715017434079E-5</v>
      </c>
      <c r="F776">
        <f t="shared" si="63"/>
        <v>8.4142627782746897E-5</v>
      </c>
      <c r="G776" s="1">
        <f t="shared" si="64"/>
        <v>9.1729290732430122E-3</v>
      </c>
      <c r="H776" s="1">
        <f t="shared" si="60"/>
        <v>1.5089468325484755E-2</v>
      </c>
      <c r="I776">
        <f t="shared" si="61"/>
        <v>15089.468325484755</v>
      </c>
      <c r="J776">
        <f t="shared" si="62"/>
        <v>33741.076920113839</v>
      </c>
    </row>
    <row r="777" spans="1:10" x14ac:dyDescent="0.45">
      <c r="A777">
        <v>-3.0407591111725196E-3</v>
      </c>
      <c r="B777">
        <f t="shared" si="65"/>
        <v>9.2462159721786913E-6</v>
      </c>
      <c r="F777">
        <f t="shared" si="63"/>
        <v>8.4461725428264893E-5</v>
      </c>
      <c r="G777" s="1">
        <f t="shared" si="64"/>
        <v>9.1903060573772458E-3</v>
      </c>
      <c r="H777" s="1">
        <f t="shared" si="60"/>
        <v>1.5118053464385569E-2</v>
      </c>
      <c r="I777">
        <f t="shared" si="61"/>
        <v>15118.05346438557</v>
      </c>
      <c r="J777">
        <f t="shared" si="62"/>
        <v>33804.995233842332</v>
      </c>
    </row>
    <row r="778" spans="1:10" x14ac:dyDescent="0.45">
      <c r="A778">
        <v>1.7208776625921018E-3</v>
      </c>
      <c r="B778">
        <f t="shared" si="65"/>
        <v>2.9614199296084559E-6</v>
      </c>
      <c r="F778">
        <f t="shared" si="63"/>
        <v>8.2174175711661532E-5</v>
      </c>
      <c r="G778" s="1">
        <f t="shared" si="64"/>
        <v>9.0649972813929471E-3</v>
      </c>
      <c r="H778" s="1">
        <f t="shared" si="60"/>
        <v>1.4911920527891398E-2</v>
      </c>
      <c r="I778">
        <f t="shared" si="61"/>
        <v>14911.920527891398</v>
      </c>
      <c r="J778">
        <f t="shared" si="62"/>
        <v>33344.067975439713</v>
      </c>
    </row>
    <row r="779" spans="1:10" x14ac:dyDescent="0.45">
      <c r="A779">
        <v>1.1465431271062698E-3</v>
      </c>
      <c r="B779">
        <f t="shared" si="65"/>
        <v>1.314561142314624E-6</v>
      </c>
      <c r="F779">
        <f t="shared" si="63"/>
        <v>7.9790554328129439E-5</v>
      </c>
      <c r="G779" s="1">
        <f t="shared" si="64"/>
        <v>8.9325558676187095E-3</v>
      </c>
      <c r="H779" s="1">
        <f t="shared" si="60"/>
        <v>1.4694054402232778E-2</v>
      </c>
      <c r="I779">
        <f t="shared" si="61"/>
        <v>14694.054402232778</v>
      </c>
      <c r="J779">
        <f t="shared" si="62"/>
        <v>32856.904508472529</v>
      </c>
    </row>
    <row r="780" spans="1:10" x14ac:dyDescent="0.45">
      <c r="A780">
        <v>-6.1143737184465863E-3</v>
      </c>
      <c r="B780">
        <f t="shared" si="65"/>
        <v>3.7385565968830336E-5</v>
      </c>
      <c r="F780">
        <f t="shared" si="63"/>
        <v>7.7392149931687949E-5</v>
      </c>
      <c r="G780" s="1">
        <f t="shared" si="64"/>
        <v>8.7972808260102699E-3</v>
      </c>
      <c r="H780" s="1">
        <f t="shared" si="60"/>
        <v>1.4471526958786894E-2</v>
      </c>
      <c r="I780">
        <f t="shared" si="61"/>
        <v>14471.526958786893</v>
      </c>
      <c r="J780">
        <f t="shared" si="62"/>
        <v>32359.318018068294</v>
      </c>
    </row>
    <row r="781" spans="1:10" x14ac:dyDescent="0.45">
      <c r="A781">
        <v>8.0399559010402299E-3</v>
      </c>
      <c r="B781">
        <f t="shared" si="65"/>
        <v>6.4640890890671609E-5</v>
      </c>
      <c r="F781">
        <f t="shared" si="63"/>
        <v>7.6186416441163107E-5</v>
      </c>
      <c r="G781" s="1">
        <f t="shared" si="64"/>
        <v>8.7284830549851627E-3</v>
      </c>
      <c r="H781" s="1">
        <f t="shared" si="60"/>
        <v>1.4358354625450593E-2</v>
      </c>
      <c r="I781">
        <f t="shared" si="61"/>
        <v>14358.354625450593</v>
      </c>
      <c r="J781">
        <f t="shared" si="62"/>
        <v>32106.256987556058</v>
      </c>
    </row>
    <row r="782" spans="1:10" x14ac:dyDescent="0.45">
      <c r="A782">
        <v>4.1828229768725578E-3</v>
      </c>
      <c r="B782">
        <f t="shared" si="65"/>
        <v>1.7496008055853005E-5</v>
      </c>
      <c r="F782">
        <f t="shared" si="63"/>
        <v>7.5833578289079007E-5</v>
      </c>
      <c r="G782" s="1">
        <f t="shared" si="64"/>
        <v>8.7082477163364508E-3</v>
      </c>
      <c r="H782" s="1">
        <f t="shared" si="60"/>
        <v>1.4325067493373462E-2</v>
      </c>
      <c r="I782">
        <f t="shared" si="61"/>
        <v>14325.067493373463</v>
      </c>
      <c r="J782">
        <f t="shared" si="62"/>
        <v>32031.82469745558</v>
      </c>
    </row>
    <row r="783" spans="1:10" x14ac:dyDescent="0.45">
      <c r="A783">
        <v>6.0618958741542883E-3</v>
      </c>
      <c r="B783">
        <f t="shared" si="65"/>
        <v>3.6746581589088782E-5</v>
      </c>
      <c r="F783">
        <f t="shared" si="63"/>
        <v>7.4080157469914856E-5</v>
      </c>
      <c r="G783" s="1">
        <f t="shared" si="64"/>
        <v>8.6069830643446064E-3</v>
      </c>
      <c r="H783" s="1">
        <f t="shared" si="60"/>
        <v>1.4158487140846878E-2</v>
      </c>
      <c r="I783">
        <f t="shared" si="61"/>
        <v>14158.487140846879</v>
      </c>
      <c r="J783">
        <f t="shared" si="62"/>
        <v>31659.339705490263</v>
      </c>
    </row>
    <row r="784" spans="1:10" x14ac:dyDescent="0.45">
      <c r="A784">
        <v>-1.5400883057736792E-2</v>
      </c>
      <c r="B784">
        <f t="shared" si="65"/>
        <v>2.3718719895808414E-4</v>
      </c>
      <c r="F784">
        <f t="shared" si="63"/>
        <v>7.2937906394299117E-5</v>
      </c>
      <c r="G784" s="1">
        <f t="shared" si="64"/>
        <v>8.5403692188510873E-3</v>
      </c>
      <c r="H784" s="1">
        <f t="shared" si="60"/>
        <v>1.4048907365010039E-2</v>
      </c>
      <c r="I784">
        <f t="shared" si="61"/>
        <v>14048.907365010038</v>
      </c>
      <c r="J784">
        <f t="shared" si="62"/>
        <v>31414.311877759897</v>
      </c>
    </row>
    <row r="785" spans="1:10" x14ac:dyDescent="0.45">
      <c r="A785">
        <v>-7.8448920248774812E-3</v>
      </c>
      <c r="B785">
        <f t="shared" si="65"/>
        <v>6.1542330881986308E-5</v>
      </c>
      <c r="F785">
        <f t="shared" si="63"/>
        <v>7.7861980902362203E-5</v>
      </c>
      <c r="G785" s="1">
        <f t="shared" si="64"/>
        <v>8.8239436139609488E-3</v>
      </c>
      <c r="H785" s="1">
        <f t="shared" si="60"/>
        <v>1.4515387244965761E-2</v>
      </c>
      <c r="I785">
        <f t="shared" si="61"/>
        <v>14515.387244965761</v>
      </c>
      <c r="J785">
        <f t="shared" si="62"/>
        <v>32457.392599476836</v>
      </c>
    </row>
    <row r="786" spans="1:10" x14ac:dyDescent="0.45">
      <c r="A786">
        <v>8.6129148257896304E-4</v>
      </c>
      <c r="B786">
        <f t="shared" si="65"/>
        <v>7.418230179630682E-7</v>
      </c>
      <c r="F786">
        <f t="shared" si="63"/>
        <v>7.7358428509628484E-5</v>
      </c>
      <c r="G786" s="1">
        <f t="shared" si="64"/>
        <v>8.7953640350828272E-3</v>
      </c>
      <c r="H786" s="1">
        <f t="shared" si="60"/>
        <v>1.4468373837711251E-2</v>
      </c>
      <c r="I786">
        <f t="shared" si="61"/>
        <v>14468.373837711251</v>
      </c>
      <c r="J786">
        <f t="shared" si="62"/>
        <v>32352.267425001868</v>
      </c>
    </row>
    <row r="787" spans="1:10" x14ac:dyDescent="0.45">
      <c r="A787">
        <v>2.0706465875264257E-2</v>
      </c>
      <c r="B787">
        <f t="shared" si="65"/>
        <v>4.2875772904348318E-4</v>
      </c>
      <c r="F787">
        <f t="shared" si="63"/>
        <v>7.5025390740428356E-5</v>
      </c>
      <c r="G787" s="1">
        <f t="shared" si="64"/>
        <v>8.6617198488769167E-3</v>
      </c>
      <c r="H787" s="1">
        <f t="shared" si="60"/>
        <v>1.4248529151402529E-2</v>
      </c>
      <c r="I787">
        <f t="shared" si="61"/>
        <v>14248.529151402528</v>
      </c>
      <c r="J787">
        <f t="shared" si="62"/>
        <v>31860.679761923449</v>
      </c>
    </row>
    <row r="788" spans="1:10" x14ac:dyDescent="0.45">
      <c r="A788">
        <v>5.3523649512499105E-3</v>
      </c>
      <c r="B788">
        <f t="shared" si="65"/>
        <v>2.8647810571368458E-5</v>
      </c>
      <c r="F788">
        <f t="shared" si="63"/>
        <v>8.5609232251518608E-5</v>
      </c>
      <c r="G788" s="1">
        <f t="shared" si="64"/>
        <v>9.2525257228239371E-3</v>
      </c>
      <c r="H788" s="1">
        <f t="shared" si="60"/>
        <v>1.5220404814045376E-2</v>
      </c>
      <c r="I788">
        <f t="shared" si="61"/>
        <v>15220.404814045376</v>
      </c>
      <c r="J788">
        <f t="shared" si="62"/>
        <v>34033.859809270507</v>
      </c>
    </row>
    <row r="789" spans="1:10" x14ac:dyDescent="0.45">
      <c r="A789">
        <v>-1.5687646737205796E-2</v>
      </c>
      <c r="B789">
        <f t="shared" si="65"/>
        <v>2.4610226015136366E-4</v>
      </c>
      <c r="F789">
        <f t="shared" si="63"/>
        <v>8.3895856623681761E-5</v>
      </c>
      <c r="G789" s="1">
        <f t="shared" si="64"/>
        <v>9.1594681408737784E-3</v>
      </c>
      <c r="H789" s="1">
        <f t="shared" si="60"/>
        <v>1.5067325091737365E-2</v>
      </c>
      <c r="I789">
        <f t="shared" si="61"/>
        <v>15067.325091737366</v>
      </c>
      <c r="J789">
        <f t="shared" si="62"/>
        <v>33691.563144213011</v>
      </c>
    </row>
    <row r="790" spans="1:10" x14ac:dyDescent="0.45">
      <c r="A790">
        <v>8.1567577581154183E-3</v>
      </c>
      <c r="B790">
        <f t="shared" si="65"/>
        <v>6.6532697124576062E-5</v>
      </c>
      <c r="F790">
        <f t="shared" si="63"/>
        <v>8.8620101060928169E-5</v>
      </c>
      <c r="G790" s="1">
        <f t="shared" si="64"/>
        <v>9.4138249962981667E-3</v>
      </c>
      <c r="H790" s="1">
        <f t="shared" si="60"/>
        <v>1.5485742118910484E-2</v>
      </c>
      <c r="I790">
        <f t="shared" si="61"/>
        <v>15485.742118910484</v>
      </c>
      <c r="J790">
        <f t="shared" si="62"/>
        <v>34627.17205991548</v>
      </c>
    </row>
    <row r="791" spans="1:10" x14ac:dyDescent="0.45">
      <c r="A791">
        <v>2.260117071273271E-3</v>
      </c>
      <c r="B791">
        <f t="shared" si="65"/>
        <v>5.1081291758608683E-6</v>
      </c>
      <c r="F791">
        <f t="shared" si="63"/>
        <v>8.7943888356410618E-5</v>
      </c>
      <c r="G791" s="1">
        <f t="shared" si="64"/>
        <v>9.3778402820911076E-3</v>
      </c>
      <c r="H791" s="1">
        <f t="shared" si="60"/>
        <v>1.5426547264039872E-2</v>
      </c>
      <c r="I791">
        <f t="shared" si="61"/>
        <v>15426.547264039873</v>
      </c>
      <c r="J791">
        <f t="shared" si="62"/>
        <v>34494.808340506555</v>
      </c>
    </row>
    <row r="792" spans="1:10" x14ac:dyDescent="0.45">
      <c r="A792">
        <v>4.5647539081983268E-4</v>
      </c>
      <c r="B792">
        <f t="shared" si="65"/>
        <v>2.0836978242411899E-7</v>
      </c>
      <c r="F792">
        <f t="shared" si="63"/>
        <v>8.5449908996098445E-5</v>
      </c>
      <c r="G792" s="1">
        <f t="shared" si="64"/>
        <v>9.2439119963410761E-3</v>
      </c>
      <c r="H792" s="1">
        <f t="shared" si="60"/>
        <v>1.5206235233981071E-2</v>
      </c>
      <c r="I792">
        <f t="shared" si="61"/>
        <v>15206.235233981071</v>
      </c>
      <c r="J792">
        <f t="shared" si="62"/>
        <v>34002.175665034098</v>
      </c>
    </row>
    <row r="793" spans="1:10" x14ac:dyDescent="0.45">
      <c r="A793">
        <v>-4.653475116356276E-3</v>
      </c>
      <c r="B793">
        <f t="shared" si="65"/>
        <v>2.1654830658547056E-5</v>
      </c>
      <c r="F793">
        <f t="shared" si="63"/>
        <v>8.2878206808689573E-5</v>
      </c>
      <c r="G793" s="1">
        <f t="shared" si="64"/>
        <v>9.1037468554815149E-3</v>
      </c>
      <c r="H793" s="1">
        <f t="shared" si="60"/>
        <v>1.4975663577267092E-2</v>
      </c>
      <c r="I793">
        <f t="shared" si="61"/>
        <v>14975.663577267092</v>
      </c>
      <c r="J793">
        <f t="shared" si="62"/>
        <v>33486.601766936896</v>
      </c>
    </row>
    <row r="794" spans="1:10" x14ac:dyDescent="0.45">
      <c r="A794">
        <v>-2.4754626792855561E-2</v>
      </c>
      <c r="B794">
        <f t="shared" si="65"/>
        <v>6.1279154765356237E-4</v>
      </c>
      <c r="F794">
        <f t="shared" si="63"/>
        <v>8.1007701588559932E-5</v>
      </c>
      <c r="G794" s="1">
        <f t="shared" si="64"/>
        <v>9.0004278558610713E-3</v>
      </c>
      <c r="H794" s="1">
        <f t="shared" ref="H794:H857" si="66">G794*$H$1</f>
        <v>1.4805703822891463E-2</v>
      </c>
      <c r="I794">
        <f t="shared" ref="I794:I857" si="67">H794*$K$1</f>
        <v>14805.703822891463</v>
      </c>
      <c r="J794">
        <f t="shared" ref="J794:J857" si="68">I794*SQRT($K$2)</f>
        <v>33106.560202713816</v>
      </c>
    </row>
    <row r="795" spans="1:10" x14ac:dyDescent="0.45">
      <c r="A795">
        <v>2.160572876164224E-3</v>
      </c>
      <c r="B795">
        <f t="shared" si="65"/>
        <v>4.6680751532165476E-6</v>
      </c>
      <c r="F795">
        <f t="shared" ref="F795:F858" si="69">(1-$E$1)*SUMPRODUCT($E$2:$E$152,B644:B794)</f>
        <v>9.6961148490512538E-5</v>
      </c>
      <c r="G795" s="1">
        <f t="shared" ref="G795:G858" si="70">SQRT(F795)</f>
        <v>9.846885217697653E-3</v>
      </c>
      <c r="H795" s="1">
        <f t="shared" si="66"/>
        <v>1.619812618311264E-2</v>
      </c>
      <c r="I795">
        <f t="shared" si="67"/>
        <v>16198.126183112639</v>
      </c>
      <c r="J795">
        <f t="shared" si="68"/>
        <v>36220.111253559073</v>
      </c>
    </row>
    <row r="796" spans="1:10" x14ac:dyDescent="0.45">
      <c r="A796">
        <v>4.8874881031224504E-3</v>
      </c>
      <c r="B796">
        <f t="shared" si="65"/>
        <v>2.3887539958163488E-5</v>
      </c>
      <c r="F796">
        <f t="shared" si="69"/>
        <v>9.4168149303466207E-5</v>
      </c>
      <c r="G796" s="1">
        <f t="shared" si="70"/>
        <v>9.7040274784991314E-3</v>
      </c>
      <c r="H796" s="1">
        <f t="shared" si="66"/>
        <v>1.596312520213107E-2</v>
      </c>
      <c r="I796">
        <f t="shared" si="67"/>
        <v>15963.12520213107</v>
      </c>
      <c r="J796">
        <f t="shared" si="68"/>
        <v>35694.633085305148</v>
      </c>
    </row>
    <row r="797" spans="1:10" x14ac:dyDescent="0.45">
      <c r="A797">
        <v>-1.157925453298958E-2</v>
      </c>
      <c r="B797">
        <f t="shared" si="65"/>
        <v>1.3407913553975973E-4</v>
      </c>
      <c r="F797">
        <f t="shared" si="69"/>
        <v>9.196763126976279E-5</v>
      </c>
      <c r="G797" s="1">
        <f t="shared" si="70"/>
        <v>9.5899755614789126E-3</v>
      </c>
      <c r="H797" s="1">
        <f t="shared" si="66"/>
        <v>1.5775509798632813E-2</v>
      </c>
      <c r="I797">
        <f t="shared" si="67"/>
        <v>15775.509798632813</v>
      </c>
      <c r="J797">
        <f t="shared" si="68"/>
        <v>35275.112289456993</v>
      </c>
    </row>
    <row r="798" spans="1:10" x14ac:dyDescent="0.45">
      <c r="A798">
        <v>-4.7337607611552812E-3</v>
      </c>
      <c r="B798">
        <f t="shared" si="65"/>
        <v>2.2408490943853428E-5</v>
      </c>
      <c r="F798">
        <f t="shared" si="69"/>
        <v>9.3229894506542958E-5</v>
      </c>
      <c r="G798" s="1">
        <f t="shared" si="70"/>
        <v>9.6555628788042684E-3</v>
      </c>
      <c r="H798" s="1">
        <f t="shared" si="66"/>
        <v>1.5883400935633021E-2</v>
      </c>
      <c r="I798">
        <f t="shared" si="67"/>
        <v>15883.400935633021</v>
      </c>
      <c r="J798">
        <f t="shared" si="68"/>
        <v>35516.364205959195</v>
      </c>
    </row>
    <row r="799" spans="1:10" x14ac:dyDescent="0.45">
      <c r="A799">
        <v>1.0811163519974798E-3</v>
      </c>
      <c r="B799">
        <f t="shared" si="65"/>
        <v>1.1688125665563386E-6</v>
      </c>
      <c r="F799">
        <f t="shared" si="69"/>
        <v>9.1102797620047372E-5</v>
      </c>
      <c r="G799" s="1">
        <f t="shared" si="70"/>
        <v>9.5447785526981913E-3</v>
      </c>
      <c r="H799" s="1">
        <f t="shared" si="66"/>
        <v>1.5701160719188523E-2</v>
      </c>
      <c r="I799">
        <f t="shared" si="67"/>
        <v>15701.160719188523</v>
      </c>
      <c r="J799">
        <f t="shared" si="68"/>
        <v>35108.862693755029</v>
      </c>
    </row>
    <row r="800" spans="1:10" x14ac:dyDescent="0.45">
      <c r="A800">
        <v>2.5205008569173515E-2</v>
      </c>
      <c r="B800">
        <f t="shared" si="65"/>
        <v>6.352924569721103E-4</v>
      </c>
      <c r="F800">
        <f t="shared" si="69"/>
        <v>8.8391210724974729E-5</v>
      </c>
      <c r="G800" s="1">
        <f t="shared" si="70"/>
        <v>9.4016599983712847E-3</v>
      </c>
      <c r="H800" s="1">
        <f t="shared" si="66"/>
        <v>1.5465730697320764E-2</v>
      </c>
      <c r="I800">
        <f t="shared" si="67"/>
        <v>15465.730697320763</v>
      </c>
      <c r="J800">
        <f t="shared" si="68"/>
        <v>34582.425160914456</v>
      </c>
    </row>
    <row r="801" spans="1:10" x14ac:dyDescent="0.45">
      <c r="A801">
        <v>-1.251978574146051E-2</v>
      </c>
      <c r="B801">
        <f t="shared" si="65"/>
        <v>1.5674503501207789E-4</v>
      </c>
      <c r="F801">
        <f t="shared" si="69"/>
        <v>1.0479543151223246E-4</v>
      </c>
      <c r="G801" s="1">
        <f t="shared" si="70"/>
        <v>1.0236963979238789E-2</v>
      </c>
      <c r="H801" s="1">
        <f t="shared" si="66"/>
        <v>1.6839805745847806E-2</v>
      </c>
      <c r="I801">
        <f t="shared" si="67"/>
        <v>16839.805745847807</v>
      </c>
      <c r="J801">
        <f t="shared" si="68"/>
        <v>37654.950375607244</v>
      </c>
    </row>
    <row r="802" spans="1:10" x14ac:dyDescent="0.45">
      <c r="A802">
        <v>-3.8857251638546586E-3</v>
      </c>
      <c r="B802">
        <f t="shared" si="65"/>
        <v>1.5098860049013313E-5</v>
      </c>
      <c r="F802">
        <f t="shared" si="69"/>
        <v>1.0635368116677846E-4</v>
      </c>
      <c r="G802" s="1">
        <f t="shared" si="70"/>
        <v>1.0312792113039924E-2</v>
      </c>
      <c r="H802" s="1">
        <f t="shared" si="66"/>
        <v>1.6964543025950674E-2</v>
      </c>
      <c r="I802">
        <f t="shared" si="67"/>
        <v>16964.543025950676</v>
      </c>
      <c r="J802">
        <f t="shared" si="68"/>
        <v>37933.871413245688</v>
      </c>
    </row>
    <row r="803" spans="1:10" x14ac:dyDescent="0.45">
      <c r="A803">
        <v>-5.8669229474617168E-4</v>
      </c>
      <c r="B803">
        <f t="shared" si="65"/>
        <v>3.4420784871452879E-7</v>
      </c>
      <c r="F803">
        <f t="shared" si="69"/>
        <v>1.0361591398200522E-4</v>
      </c>
      <c r="G803" s="1">
        <f t="shared" si="70"/>
        <v>1.0179190241959584E-2</v>
      </c>
      <c r="H803" s="1">
        <f t="shared" si="66"/>
        <v>1.6744767948023515E-2</v>
      </c>
      <c r="I803">
        <f t="shared" si="67"/>
        <v>16744.767948023513</v>
      </c>
      <c r="J803">
        <f t="shared" si="68"/>
        <v>37442.43939924024</v>
      </c>
    </row>
    <row r="804" spans="1:10" x14ac:dyDescent="0.45">
      <c r="A804">
        <v>-6.7350583776715212E-3</v>
      </c>
      <c r="B804">
        <f t="shared" si="65"/>
        <v>4.5361011350643341E-5</v>
      </c>
      <c r="F804">
        <f t="shared" si="69"/>
        <v>1.0047766771090232E-4</v>
      </c>
      <c r="G804" s="1">
        <f t="shared" si="70"/>
        <v>1.0023854932654518E-2</v>
      </c>
      <c r="H804" s="1">
        <f t="shared" si="66"/>
        <v>1.6489241364216683E-2</v>
      </c>
      <c r="I804">
        <f t="shared" si="67"/>
        <v>16489.241364216683</v>
      </c>
      <c r="J804">
        <f t="shared" si="68"/>
        <v>36871.064587789871</v>
      </c>
    </row>
    <row r="805" spans="1:10" x14ac:dyDescent="0.45">
      <c r="A805">
        <v>7.1270505941356532E-3</v>
      </c>
      <c r="B805">
        <f t="shared" si="65"/>
        <v>5.0794850171369368E-5</v>
      </c>
      <c r="F805">
        <f t="shared" si="69"/>
        <v>9.8806391330534006E-5</v>
      </c>
      <c r="G805" s="1">
        <f t="shared" si="70"/>
        <v>9.9401404079889136E-3</v>
      </c>
      <c r="H805" s="1">
        <f t="shared" si="66"/>
        <v>1.6351530971141764E-2</v>
      </c>
      <c r="I805">
        <f t="shared" si="67"/>
        <v>16351.530971141763</v>
      </c>
      <c r="J805">
        <f t="shared" si="68"/>
        <v>36563.134787666138</v>
      </c>
    </row>
    <row r="806" spans="1:10" x14ac:dyDescent="0.45">
      <c r="A806">
        <v>-4.790308594238013E-3</v>
      </c>
      <c r="B806">
        <f t="shared" si="65"/>
        <v>2.2947056428030569E-5</v>
      </c>
      <c r="F806">
        <f t="shared" si="69"/>
        <v>9.7261685134422587E-5</v>
      </c>
      <c r="G806" s="1">
        <f t="shared" si="70"/>
        <v>9.8621339036956187E-3</v>
      </c>
      <c r="H806" s="1">
        <f t="shared" si="66"/>
        <v>1.6223210271579292E-2</v>
      </c>
      <c r="I806">
        <f t="shared" si="67"/>
        <v>16223.210271579292</v>
      </c>
      <c r="J806">
        <f t="shared" si="68"/>
        <v>36276.200980524125</v>
      </c>
    </row>
    <row r="807" spans="1:10" x14ac:dyDescent="0.45">
      <c r="A807">
        <v>-1.1516658560140058E-2</v>
      </c>
      <c r="B807">
        <f t="shared" si="65"/>
        <v>1.3263342439084728E-4</v>
      </c>
      <c r="F807">
        <f t="shared" si="69"/>
        <v>9.4970868759225129E-5</v>
      </c>
      <c r="G807" s="1">
        <f t="shared" si="70"/>
        <v>9.7452998291086522E-3</v>
      </c>
      <c r="H807" s="1">
        <f t="shared" si="66"/>
        <v>1.6031018218883732E-2</v>
      </c>
      <c r="I807">
        <f t="shared" si="67"/>
        <v>16031.018218883732</v>
      </c>
      <c r="J807">
        <f t="shared" si="68"/>
        <v>35846.446485961627</v>
      </c>
    </row>
    <row r="808" spans="1:10" x14ac:dyDescent="0.45">
      <c r="A808">
        <v>1.8366790754953399E-3</v>
      </c>
      <c r="B808">
        <f t="shared" si="65"/>
        <v>3.3733900263624164E-6</v>
      </c>
      <c r="F808">
        <f t="shared" si="69"/>
        <v>9.6094148555165096E-5</v>
      </c>
      <c r="G808" s="1">
        <f t="shared" si="70"/>
        <v>9.802762292087118E-3</v>
      </c>
      <c r="H808" s="1">
        <f t="shared" si="66"/>
        <v>1.6125543970483311E-2</v>
      </c>
      <c r="I808">
        <f t="shared" si="67"/>
        <v>16125.543970483312</v>
      </c>
      <c r="J808">
        <f t="shared" si="68"/>
        <v>36057.812492162549</v>
      </c>
    </row>
    <row r="809" spans="1:10" x14ac:dyDescent="0.45">
      <c r="A809">
        <v>-6.8884446591255255E-3</v>
      </c>
      <c r="B809">
        <f t="shared" si="65"/>
        <v>4.7450669821834976E-5</v>
      </c>
      <c r="F809">
        <f t="shared" si="69"/>
        <v>9.3307825176760614E-5</v>
      </c>
      <c r="G809" s="1">
        <f t="shared" si="70"/>
        <v>9.6595975680543039E-3</v>
      </c>
      <c r="H809" s="1">
        <f t="shared" si="66"/>
        <v>1.5890037999449332E-2</v>
      </c>
      <c r="I809">
        <f t="shared" si="67"/>
        <v>15890.037999449332</v>
      </c>
      <c r="J809">
        <f t="shared" si="68"/>
        <v>35531.205131823473</v>
      </c>
    </row>
    <row r="810" spans="1:10" x14ac:dyDescent="0.45">
      <c r="A810">
        <v>6.9428551796590909E-3</v>
      </c>
      <c r="B810">
        <f t="shared" si="65"/>
        <v>4.8203238045719068E-5</v>
      </c>
      <c r="F810">
        <f t="shared" si="69"/>
        <v>9.1889160935017172E-5</v>
      </c>
      <c r="G810" s="1">
        <f t="shared" si="70"/>
        <v>9.585883419644595E-3</v>
      </c>
      <c r="H810" s="1">
        <f t="shared" si="66"/>
        <v>1.5768778225315357E-2</v>
      </c>
      <c r="I810">
        <f t="shared" si="67"/>
        <v>15768.778225315358</v>
      </c>
      <c r="J810">
        <f t="shared" si="68"/>
        <v>35260.060033923641</v>
      </c>
    </row>
    <row r="811" spans="1:10" x14ac:dyDescent="0.45">
      <c r="A811">
        <v>-2.5507006284897216E-3</v>
      </c>
      <c r="B811">
        <f t="shared" si="65"/>
        <v>6.5060736961778605E-6</v>
      </c>
      <c r="F811">
        <f t="shared" si="69"/>
        <v>9.0565376736404196E-5</v>
      </c>
      <c r="G811" s="1">
        <f t="shared" si="70"/>
        <v>9.5165842998632764E-3</v>
      </c>
      <c r="H811" s="1">
        <f t="shared" si="66"/>
        <v>1.5654781173275088E-2</v>
      </c>
      <c r="I811">
        <f t="shared" si="67"/>
        <v>15654.781173275089</v>
      </c>
      <c r="J811">
        <f t="shared" si="68"/>
        <v>35005.154876327011</v>
      </c>
    </row>
    <row r="812" spans="1:10" x14ac:dyDescent="0.45">
      <c r="A812">
        <v>-9.9367071015876718E-3</v>
      </c>
      <c r="B812">
        <f t="shared" si="65"/>
        <v>9.8738148022742869E-5</v>
      </c>
      <c r="F812">
        <f t="shared" si="69"/>
        <v>8.7889971550073531E-5</v>
      </c>
      <c r="G812" s="1">
        <f t="shared" si="70"/>
        <v>9.3749651492724771E-3</v>
      </c>
      <c r="H812" s="1">
        <f t="shared" si="66"/>
        <v>1.5421817670553225E-2</v>
      </c>
      <c r="I812">
        <f t="shared" si="67"/>
        <v>15421.817670553224</v>
      </c>
      <c r="J812">
        <f t="shared" si="68"/>
        <v>34484.232647964469</v>
      </c>
    </row>
    <row r="813" spans="1:10" x14ac:dyDescent="0.45">
      <c r="A813">
        <v>4.0770146370050497E-3</v>
      </c>
      <c r="B813">
        <f t="shared" si="65"/>
        <v>1.6622048350353419E-5</v>
      </c>
      <c r="F813">
        <f t="shared" si="69"/>
        <v>8.819135148114704E-5</v>
      </c>
      <c r="G813" s="1">
        <f t="shared" si="70"/>
        <v>9.3910250495431568E-3</v>
      </c>
      <c r="H813" s="1">
        <f t="shared" si="66"/>
        <v>1.5448236206498493E-2</v>
      </c>
      <c r="I813">
        <f t="shared" si="67"/>
        <v>15448.236206498492</v>
      </c>
      <c r="J813">
        <f t="shared" si="68"/>
        <v>34543.306290204106</v>
      </c>
    </row>
    <row r="814" spans="1:10" x14ac:dyDescent="0.45">
      <c r="A814">
        <v>7.3527417043806054E-3</v>
      </c>
      <c r="B814">
        <f t="shared" si="65"/>
        <v>5.4062810571337812E-5</v>
      </c>
      <c r="F814">
        <f t="shared" si="69"/>
        <v>8.597113546402637E-5</v>
      </c>
      <c r="G814" s="1">
        <f t="shared" si="70"/>
        <v>9.2720620934086916E-3</v>
      </c>
      <c r="H814" s="1">
        <f t="shared" si="66"/>
        <v>1.5252542143657297E-2</v>
      </c>
      <c r="I814">
        <f t="shared" si="67"/>
        <v>15252.542143657298</v>
      </c>
      <c r="J814">
        <f t="shared" si="68"/>
        <v>34105.721062898083</v>
      </c>
    </row>
    <row r="815" spans="1:10" x14ac:dyDescent="0.45">
      <c r="A815">
        <v>-5.7630359151517041E-3</v>
      </c>
      <c r="B815">
        <f t="shared" si="65"/>
        <v>3.321258295932844E-5</v>
      </c>
      <c r="F815">
        <f t="shared" si="69"/>
        <v>8.5013877817640809E-5</v>
      </c>
      <c r="G815" s="1">
        <f t="shared" si="70"/>
        <v>9.2202970569087855E-3</v>
      </c>
      <c r="H815" s="1">
        <f t="shared" si="66"/>
        <v>1.5167388658614953E-2</v>
      </c>
      <c r="I815">
        <f t="shared" si="67"/>
        <v>15167.388658614953</v>
      </c>
      <c r="J815">
        <f t="shared" si="68"/>
        <v>33915.312081822391</v>
      </c>
    </row>
    <row r="816" spans="1:10" x14ac:dyDescent="0.45">
      <c r="A816">
        <v>6.0545289670699276E-3</v>
      </c>
      <c r="B816">
        <f t="shared" si="65"/>
        <v>3.6657321013088844E-5</v>
      </c>
      <c r="F816">
        <f t="shared" si="69"/>
        <v>8.3375461212765008E-5</v>
      </c>
      <c r="G816" s="1">
        <f t="shared" si="70"/>
        <v>9.1310164391903825E-3</v>
      </c>
      <c r="H816" s="1">
        <f t="shared" si="66"/>
        <v>1.502052204246818E-2</v>
      </c>
      <c r="I816">
        <f t="shared" si="67"/>
        <v>15020.522042468179</v>
      </c>
      <c r="J816">
        <f t="shared" si="68"/>
        <v>33586.908344492833</v>
      </c>
    </row>
    <row r="817" spans="1:10" x14ac:dyDescent="0.45">
      <c r="A817">
        <v>-3.2465095500811003E-3</v>
      </c>
      <c r="B817">
        <f t="shared" si="65"/>
        <v>1.0539824258767789E-5</v>
      </c>
      <c r="F817">
        <f t="shared" si="69"/>
        <v>8.1828143904939143E-5</v>
      </c>
      <c r="G817" s="1">
        <f t="shared" si="70"/>
        <v>9.0458909956365897E-3</v>
      </c>
      <c r="H817" s="1">
        <f t="shared" si="66"/>
        <v>1.488049068782219E-2</v>
      </c>
      <c r="I817">
        <f t="shared" si="67"/>
        <v>14880.49068782219</v>
      </c>
      <c r="J817">
        <f t="shared" si="68"/>
        <v>33273.78871652302</v>
      </c>
    </row>
    <row r="818" spans="1:10" x14ac:dyDescent="0.45">
      <c r="A818">
        <v>-9.0576122602215037E-3</v>
      </c>
      <c r="B818">
        <f t="shared" si="65"/>
        <v>8.20403398565149E-5</v>
      </c>
      <c r="F818">
        <f t="shared" si="69"/>
        <v>7.9686458933132053E-5</v>
      </c>
      <c r="G818" s="1">
        <f t="shared" si="70"/>
        <v>8.9267272240800572E-3</v>
      </c>
      <c r="H818" s="1">
        <f t="shared" si="66"/>
        <v>1.4684466283611695E-2</v>
      </c>
      <c r="I818">
        <f t="shared" si="67"/>
        <v>14684.466283611695</v>
      </c>
      <c r="J818">
        <f t="shared" si="68"/>
        <v>32835.464823459457</v>
      </c>
    </row>
    <row r="819" spans="1:10" x14ac:dyDescent="0.45">
      <c r="A819">
        <v>1.6470312402816489E-2</v>
      </c>
      <c r="B819">
        <f t="shared" si="65"/>
        <v>2.7127119064637066E-4</v>
      </c>
      <c r="F819">
        <f t="shared" si="69"/>
        <v>7.975590164675201E-5</v>
      </c>
      <c r="G819" s="1">
        <f t="shared" si="70"/>
        <v>8.9306159724148928E-3</v>
      </c>
      <c r="H819" s="1">
        <f t="shared" si="66"/>
        <v>1.4690863274622499E-2</v>
      </c>
      <c r="I819">
        <f t="shared" si="67"/>
        <v>14690.863274622499</v>
      </c>
      <c r="J819">
        <f t="shared" si="68"/>
        <v>32849.768930211074</v>
      </c>
    </row>
    <row r="820" spans="1:10" x14ac:dyDescent="0.45">
      <c r="A820">
        <v>-6.5405401983298361E-3</v>
      </c>
      <c r="B820">
        <f t="shared" si="65"/>
        <v>4.2778666085968489E-5</v>
      </c>
      <c r="F820">
        <f t="shared" si="69"/>
        <v>8.5497447394076103E-5</v>
      </c>
      <c r="G820" s="1">
        <f t="shared" si="70"/>
        <v>9.2464829743030465E-3</v>
      </c>
      <c r="H820" s="1">
        <f t="shared" si="66"/>
        <v>1.5210464492728512E-2</v>
      </c>
      <c r="I820">
        <f t="shared" si="67"/>
        <v>15210.464492728512</v>
      </c>
      <c r="J820">
        <f t="shared" si="68"/>
        <v>34011.63257508781</v>
      </c>
    </row>
    <row r="821" spans="1:10" x14ac:dyDescent="0.45">
      <c r="A821">
        <v>-2.3441771190846339E-3</v>
      </c>
      <c r="B821">
        <f t="shared" si="65"/>
        <v>5.4951663656399336E-6</v>
      </c>
      <c r="F821">
        <f t="shared" si="69"/>
        <v>8.421411371339725E-5</v>
      </c>
      <c r="G821" s="1">
        <f t="shared" si="70"/>
        <v>9.1768248165363404E-3</v>
      </c>
      <c r="H821" s="1">
        <f t="shared" si="66"/>
        <v>1.509587682320228E-2</v>
      </c>
      <c r="I821">
        <f t="shared" si="67"/>
        <v>15095.876823202279</v>
      </c>
      <c r="J821">
        <f t="shared" si="68"/>
        <v>33755.406756643875</v>
      </c>
    </row>
    <row r="822" spans="1:10" x14ac:dyDescent="0.45">
      <c r="A822">
        <v>1.299144969379995E-3</v>
      </c>
      <c r="B822">
        <f t="shared" si="65"/>
        <v>1.6877776514653481E-6</v>
      </c>
      <c r="F822">
        <f t="shared" si="69"/>
        <v>8.1812543159782582E-5</v>
      </c>
      <c r="G822" s="1">
        <f t="shared" si="70"/>
        <v>9.0450286433920481E-3</v>
      </c>
      <c r="H822" s="1">
        <f t="shared" si="66"/>
        <v>1.4879072118379919E-2</v>
      </c>
      <c r="I822">
        <f t="shared" si="67"/>
        <v>14879.07211837992</v>
      </c>
      <c r="J822">
        <f t="shared" si="68"/>
        <v>33270.6166988193</v>
      </c>
    </row>
    <row r="823" spans="1:10" x14ac:dyDescent="0.45">
      <c r="A823">
        <v>-2.2726794668415096E-3</v>
      </c>
      <c r="B823">
        <f t="shared" si="65"/>
        <v>5.1650719590030082E-6</v>
      </c>
      <c r="F823">
        <f t="shared" si="69"/>
        <v>7.9406416168619862E-5</v>
      </c>
      <c r="G823" s="1">
        <f t="shared" si="70"/>
        <v>8.9110277840785488E-3</v>
      </c>
      <c r="H823" s="1">
        <f t="shared" si="66"/>
        <v>1.4658640704809213E-2</v>
      </c>
      <c r="I823">
        <f t="shared" si="67"/>
        <v>14658.640704809213</v>
      </c>
      <c r="J823">
        <f t="shared" si="68"/>
        <v>32777.717073698834</v>
      </c>
    </row>
    <row r="824" spans="1:10" x14ac:dyDescent="0.45">
      <c r="A824">
        <v>-7.8709490480832756E-3</v>
      </c>
      <c r="B824">
        <f t="shared" si="65"/>
        <v>6.1951838917523018E-5</v>
      </c>
      <c r="F824">
        <f t="shared" si="69"/>
        <v>7.7148727801205222E-5</v>
      </c>
      <c r="G824" s="1">
        <f t="shared" si="70"/>
        <v>8.7834348521068466E-3</v>
      </c>
      <c r="H824" s="1">
        <f t="shared" si="66"/>
        <v>1.4448750331715762E-2</v>
      </c>
      <c r="I824">
        <f t="shared" si="67"/>
        <v>14448.750331715763</v>
      </c>
      <c r="J824">
        <f t="shared" si="68"/>
        <v>32308.387931639081</v>
      </c>
    </row>
    <row r="825" spans="1:10" x14ac:dyDescent="0.45">
      <c r="A825">
        <v>-2.7789837986347266E-3</v>
      </c>
      <c r="B825">
        <f t="shared" si="65"/>
        <v>7.7227509530742944E-6</v>
      </c>
      <c r="F825">
        <f t="shared" si="69"/>
        <v>7.6663834697574847E-5</v>
      </c>
      <c r="G825" s="1">
        <f t="shared" si="70"/>
        <v>8.7557886393845093E-3</v>
      </c>
      <c r="H825" s="1">
        <f t="shared" si="66"/>
        <v>1.4403272311787518E-2</v>
      </c>
      <c r="I825">
        <f t="shared" si="67"/>
        <v>14403.272311787518</v>
      </c>
      <c r="J825">
        <f t="shared" si="68"/>
        <v>32206.695987597435</v>
      </c>
    </row>
    <row r="826" spans="1:10" x14ac:dyDescent="0.45">
      <c r="A826">
        <v>-2.7956843950960319E-3</v>
      </c>
      <c r="B826">
        <f t="shared" si="65"/>
        <v>7.8158512369834659E-6</v>
      </c>
      <c r="F826">
        <f t="shared" si="69"/>
        <v>7.445183443303994E-5</v>
      </c>
      <c r="G826" s="1">
        <f t="shared" si="70"/>
        <v>8.6285476433198161E-3</v>
      </c>
      <c r="H826" s="1">
        <f t="shared" si="66"/>
        <v>1.4193960873261097E-2</v>
      </c>
      <c r="I826">
        <f t="shared" si="67"/>
        <v>14193.960873261098</v>
      </c>
      <c r="J826">
        <f t="shared" si="68"/>
        <v>31738.661382584094</v>
      </c>
    </row>
    <row r="827" spans="1:10" x14ac:dyDescent="0.45">
      <c r="A827">
        <v>-1.9020717445528135E-3</v>
      </c>
      <c r="B827">
        <f t="shared" si="65"/>
        <v>3.6178769214261831E-6</v>
      </c>
      <c r="F827">
        <f t="shared" si="69"/>
        <v>7.2423192464415777E-5</v>
      </c>
      <c r="G827" s="1">
        <f t="shared" si="70"/>
        <v>8.5101816939719792E-3</v>
      </c>
      <c r="H827" s="1">
        <f t="shared" si="66"/>
        <v>1.3999248886583906E-2</v>
      </c>
      <c r="I827">
        <f t="shared" si="67"/>
        <v>13999.248886583906</v>
      </c>
      <c r="J827">
        <f t="shared" si="68"/>
        <v>31303.272144339859</v>
      </c>
    </row>
    <row r="828" spans="1:10" x14ac:dyDescent="0.45">
      <c r="A828">
        <v>1.3240355656307656E-2</v>
      </c>
      <c r="B828">
        <f t="shared" si="65"/>
        <v>1.7530701790551814E-4</v>
      </c>
      <c r="F828">
        <f t="shared" si="69"/>
        <v>7.0347961405817935E-5</v>
      </c>
      <c r="G828" s="1">
        <f t="shared" si="70"/>
        <v>8.3873691587897769E-3</v>
      </c>
      <c r="H828" s="1">
        <f t="shared" si="66"/>
        <v>1.3797222266209183E-2</v>
      </c>
      <c r="I828">
        <f t="shared" si="67"/>
        <v>13797.222266209183</v>
      </c>
      <c r="J828">
        <f t="shared" si="68"/>
        <v>30851.526887917433</v>
      </c>
    </row>
    <row r="829" spans="1:10" x14ac:dyDescent="0.45">
      <c r="A829">
        <v>-1.062715000443859E-2</v>
      </c>
      <c r="B829">
        <f t="shared" si="65"/>
        <v>1.1293631721683913E-4</v>
      </c>
      <c r="F829">
        <f t="shared" si="69"/>
        <v>7.3474073372742244E-5</v>
      </c>
      <c r="G829" s="1">
        <f t="shared" si="70"/>
        <v>8.57170189476642E-3</v>
      </c>
      <c r="H829" s="1">
        <f t="shared" si="66"/>
        <v>1.4100449616890762E-2</v>
      </c>
      <c r="I829">
        <f t="shared" si="67"/>
        <v>14100.449616890761</v>
      </c>
      <c r="J829">
        <f t="shared" si="68"/>
        <v>31529.563856678611</v>
      </c>
    </row>
    <row r="830" spans="1:10" x14ac:dyDescent="0.45">
      <c r="A830">
        <v>1.1380734576960094E-3</v>
      </c>
      <c r="B830">
        <f t="shared" si="65"/>
        <v>1.2952111951121505E-6</v>
      </c>
      <c r="F830">
        <f t="shared" si="69"/>
        <v>7.4657698932728669E-5</v>
      </c>
      <c r="G830" s="1">
        <f t="shared" si="70"/>
        <v>8.6404686755249954E-3</v>
      </c>
      <c r="H830" s="1">
        <f t="shared" si="66"/>
        <v>1.4213570971238617E-2</v>
      </c>
      <c r="I830">
        <f t="shared" si="67"/>
        <v>14213.570971238618</v>
      </c>
      <c r="J830">
        <f t="shared" si="68"/>
        <v>31782.510894707259</v>
      </c>
    </row>
    <row r="831" spans="1:10" x14ac:dyDescent="0.45">
      <c r="A831">
        <v>-2.3191569198388606E-2</v>
      </c>
      <c r="B831">
        <f t="shared" si="65"/>
        <v>5.3784888188364711E-4</v>
      </c>
      <c r="F831">
        <f t="shared" si="69"/>
        <v>7.2451680757996959E-5</v>
      </c>
      <c r="G831" s="1">
        <f t="shared" si="70"/>
        <v>8.5118553064532851E-3</v>
      </c>
      <c r="H831" s="1">
        <f t="shared" si="66"/>
        <v>1.4002001979115655E-2</v>
      </c>
      <c r="I831">
        <f t="shared" si="67"/>
        <v>14002.001979115656</v>
      </c>
      <c r="J831">
        <f t="shared" si="68"/>
        <v>31309.428246389198</v>
      </c>
    </row>
    <row r="832" spans="1:10" x14ac:dyDescent="0.45">
      <c r="A832">
        <v>-1.2909458746435121E-2</v>
      </c>
      <c r="B832">
        <f t="shared" si="65"/>
        <v>1.6665412512591025E-4</v>
      </c>
      <c r="F832">
        <f t="shared" si="69"/>
        <v>8.6413585621088407E-5</v>
      </c>
      <c r="G832" s="1">
        <f t="shared" si="70"/>
        <v>9.2958907922311793E-3</v>
      </c>
      <c r="H832" s="1">
        <f t="shared" si="66"/>
        <v>1.529174035322029E-2</v>
      </c>
      <c r="I832">
        <f t="shared" si="67"/>
        <v>15291.74035322029</v>
      </c>
      <c r="J832">
        <f t="shared" si="68"/>
        <v>34193.370924077215</v>
      </c>
    </row>
    <row r="833" spans="1:10" x14ac:dyDescent="0.45">
      <c r="A833">
        <v>-2.124556885974016E-3</v>
      </c>
      <c r="B833">
        <f t="shared" si="65"/>
        <v>4.5137419617396086E-6</v>
      </c>
      <c r="F833">
        <f t="shared" si="69"/>
        <v>8.8804322904014574E-5</v>
      </c>
      <c r="G833" s="1">
        <f t="shared" si="70"/>
        <v>9.4236045600404189E-3</v>
      </c>
      <c r="H833" s="1">
        <f t="shared" si="66"/>
        <v>1.550182950126649E-2</v>
      </c>
      <c r="I833">
        <f t="shared" si="67"/>
        <v>15501.829501266489</v>
      </c>
      <c r="J833">
        <f t="shared" si="68"/>
        <v>34663.144540443536</v>
      </c>
    </row>
    <row r="834" spans="1:10" x14ac:dyDescent="0.45">
      <c r="A834">
        <v>-1.1500333130243234E-2</v>
      </c>
      <c r="B834">
        <f t="shared" si="65"/>
        <v>1.3225766210657014E-4</v>
      </c>
      <c r="F834">
        <f t="shared" si="69"/>
        <v>8.6263317974178371E-5</v>
      </c>
      <c r="G834" s="1">
        <f t="shared" si="70"/>
        <v>9.287804798453635E-3</v>
      </c>
      <c r="H834" s="1">
        <f t="shared" si="66"/>
        <v>1.5278438893456229E-2</v>
      </c>
      <c r="I834">
        <f t="shared" si="67"/>
        <v>15278.438893456228</v>
      </c>
      <c r="J834">
        <f t="shared" si="68"/>
        <v>34163.627955844793</v>
      </c>
    </row>
    <row r="835" spans="1:10" x14ac:dyDescent="0.45">
      <c r="A835">
        <v>-5.5538521337439306E-3</v>
      </c>
      <c r="B835">
        <f t="shared" ref="B835:B898" si="71">A835^2</f>
        <v>3.084527352349201E-5</v>
      </c>
      <c r="F835">
        <f t="shared" si="69"/>
        <v>8.7642542172609419E-5</v>
      </c>
      <c r="G835" s="1">
        <f t="shared" si="70"/>
        <v>9.3617595660543118E-3</v>
      </c>
      <c r="H835" s="1">
        <f t="shared" si="66"/>
        <v>1.5400094486159343E-2</v>
      </c>
      <c r="I835">
        <f t="shared" si="67"/>
        <v>15400.094486159343</v>
      </c>
      <c r="J835">
        <f t="shared" si="68"/>
        <v>34435.658130971991</v>
      </c>
    </row>
    <row r="836" spans="1:10" x14ac:dyDescent="0.45">
      <c r="A836">
        <v>2.289948497491423E-3</v>
      </c>
      <c r="B836">
        <f t="shared" si="71"/>
        <v>5.2438641211632263E-6</v>
      </c>
      <c r="F836">
        <f t="shared" si="69"/>
        <v>8.5938422813763794E-5</v>
      </c>
      <c r="G836" s="1">
        <f t="shared" si="70"/>
        <v>9.2702978816089718E-3</v>
      </c>
      <c r="H836" s="1">
        <f t="shared" si="66"/>
        <v>1.5249640015246759E-2</v>
      </c>
      <c r="I836">
        <f t="shared" si="67"/>
        <v>15249.64001524676</v>
      </c>
      <c r="J836">
        <f t="shared" si="68"/>
        <v>34099.231706492683</v>
      </c>
    </row>
    <row r="837" spans="1:10" x14ac:dyDescent="0.45">
      <c r="A837">
        <v>8.2908627518918365E-3</v>
      </c>
      <c r="B837">
        <f t="shared" si="71"/>
        <v>6.8738405170707482E-5</v>
      </c>
      <c r="F837">
        <f t="shared" si="69"/>
        <v>8.351732267186787E-5</v>
      </c>
      <c r="G837" s="1">
        <f t="shared" si="70"/>
        <v>9.1387812465266866E-3</v>
      </c>
      <c r="H837" s="1">
        <f t="shared" si="66"/>
        <v>1.50332951505364E-2</v>
      </c>
      <c r="I837">
        <f t="shared" si="67"/>
        <v>15033.2951505364</v>
      </c>
      <c r="J837">
        <f t="shared" si="68"/>
        <v>33615.469882417325</v>
      </c>
    </row>
    <row r="838" spans="1:10" x14ac:dyDescent="0.45">
      <c r="A838">
        <v>1.1500333130243234E-2</v>
      </c>
      <c r="B838">
        <f t="shared" si="71"/>
        <v>1.3225766210657014E-4</v>
      </c>
      <c r="F838">
        <f t="shared" si="69"/>
        <v>8.3063502979774937E-5</v>
      </c>
      <c r="G838" s="1">
        <f t="shared" si="70"/>
        <v>9.1139180915660485E-3</v>
      </c>
      <c r="H838" s="1">
        <f t="shared" si="66"/>
        <v>1.499239526062615E-2</v>
      </c>
      <c r="I838">
        <f t="shared" si="67"/>
        <v>14992.39526062615</v>
      </c>
      <c r="J838">
        <f t="shared" si="68"/>
        <v>33524.014948305747</v>
      </c>
    </row>
    <row r="839" spans="1:10" x14ac:dyDescent="0.45">
      <c r="A839">
        <v>1.9846629584208131E-2</v>
      </c>
      <c r="B839">
        <f t="shared" si="71"/>
        <v>3.938887058527654E-4</v>
      </c>
      <c r="F839">
        <f t="shared" si="69"/>
        <v>8.4477547996521937E-5</v>
      </c>
      <c r="G839" s="1">
        <f t="shared" si="70"/>
        <v>9.1911668462998728E-3</v>
      </c>
      <c r="H839" s="1">
        <f t="shared" si="66"/>
        <v>1.511946946216329E-2</v>
      </c>
      <c r="I839">
        <f t="shared" si="67"/>
        <v>15119.46946216329</v>
      </c>
      <c r="J839">
        <f t="shared" si="68"/>
        <v>33808.161501129303</v>
      </c>
    </row>
    <row r="840" spans="1:10" x14ac:dyDescent="0.45">
      <c r="A840">
        <v>1.2025952855765354E-2</v>
      </c>
      <c r="B840">
        <f t="shared" si="71"/>
        <v>1.4462354208909087E-4</v>
      </c>
      <c r="F840">
        <f t="shared" si="69"/>
        <v>9.3759827814185101E-5</v>
      </c>
      <c r="G840" s="1">
        <f t="shared" si="70"/>
        <v>9.6829658583610159E-3</v>
      </c>
      <c r="H840" s="1">
        <f t="shared" si="66"/>
        <v>1.5928478837003872E-2</v>
      </c>
      <c r="I840">
        <f t="shared" si="67"/>
        <v>15928.478837003871</v>
      </c>
      <c r="J840">
        <f t="shared" si="68"/>
        <v>35617.161457707451</v>
      </c>
    </row>
    <row r="841" spans="1:10" x14ac:dyDescent="0.45">
      <c r="A841">
        <v>-3.9708424992568325E-3</v>
      </c>
      <c r="B841">
        <f t="shared" si="71"/>
        <v>1.5767590153904247E-5</v>
      </c>
      <c r="F841">
        <f t="shared" si="69"/>
        <v>9.5285736886628641E-5</v>
      </c>
      <c r="G841" s="1">
        <f t="shared" si="70"/>
        <v>9.7614413324379843E-3</v>
      </c>
      <c r="H841" s="1">
        <f t="shared" si="66"/>
        <v>1.6057570991860483E-2</v>
      </c>
      <c r="I841">
        <f t="shared" si="67"/>
        <v>16057.570991860483</v>
      </c>
      <c r="J841">
        <f t="shared" si="68"/>
        <v>35905.820291328761</v>
      </c>
    </row>
    <row r="842" spans="1:10" x14ac:dyDescent="0.45">
      <c r="A842">
        <v>-2.0182596927043051E-3</v>
      </c>
      <c r="B842">
        <f t="shared" si="71"/>
        <v>4.0733721871948759E-6</v>
      </c>
      <c r="F842">
        <f t="shared" si="69"/>
        <v>9.289057327471863E-5</v>
      </c>
      <c r="G842" s="1">
        <f t="shared" si="70"/>
        <v>9.6379755796909255E-3</v>
      </c>
      <c r="H842" s="1">
        <f t="shared" si="66"/>
        <v>1.5854469828591573E-2</v>
      </c>
      <c r="I842">
        <f t="shared" si="67"/>
        <v>15854.469828591573</v>
      </c>
      <c r="J842">
        <f t="shared" si="68"/>
        <v>35451.672283950196</v>
      </c>
    </row>
    <row r="843" spans="1:10" x14ac:dyDescent="0.45">
      <c r="A843">
        <v>-5.8146042647422291E-3</v>
      </c>
      <c r="B843">
        <f t="shared" si="71"/>
        <v>3.3809622755558521E-5</v>
      </c>
      <c r="F843">
        <f t="shared" si="69"/>
        <v>9.0171122249617995E-5</v>
      </c>
      <c r="G843" s="1">
        <f t="shared" si="70"/>
        <v>9.4958476319714612E-3</v>
      </c>
      <c r="H843" s="1">
        <f t="shared" si="66"/>
        <v>1.5620669354593053E-2</v>
      </c>
      <c r="I843">
        <f t="shared" si="67"/>
        <v>15620.669354593054</v>
      </c>
      <c r="J843">
        <f t="shared" si="68"/>
        <v>34928.878530917835</v>
      </c>
    </row>
    <row r="844" spans="1:10" x14ac:dyDescent="0.45">
      <c r="A844">
        <v>2.5949702830985188E-3</v>
      </c>
      <c r="B844">
        <f t="shared" si="71"/>
        <v>6.7338707701644071E-6</v>
      </c>
      <c r="F844">
        <f t="shared" si="69"/>
        <v>8.8473632119480842E-5</v>
      </c>
      <c r="G844" s="1">
        <f t="shared" si="70"/>
        <v>9.4060423196730743E-3</v>
      </c>
      <c r="H844" s="1">
        <f t="shared" si="66"/>
        <v>1.5472939615862208E-2</v>
      </c>
      <c r="I844">
        <f t="shared" si="67"/>
        <v>15472.939615862208</v>
      </c>
      <c r="J844">
        <f t="shared" si="68"/>
        <v>34598.544792817382</v>
      </c>
    </row>
    <row r="845" spans="1:10" x14ac:dyDescent="0.45">
      <c r="A845">
        <v>1.8202081264462322E-2</v>
      </c>
      <c r="B845">
        <f t="shared" si="71"/>
        <v>3.3131576235809028E-4</v>
      </c>
      <c r="F845">
        <f t="shared" si="69"/>
        <v>8.5944280107254668E-5</v>
      </c>
      <c r="G845" s="1">
        <f t="shared" si="70"/>
        <v>9.2706137934472632E-3</v>
      </c>
      <c r="H845" s="1">
        <f t="shared" si="66"/>
        <v>1.5250159690220748E-2</v>
      </c>
      <c r="I845">
        <f t="shared" si="67"/>
        <v>15250.159690220748</v>
      </c>
      <c r="J845">
        <f t="shared" si="68"/>
        <v>34100.39373506073</v>
      </c>
    </row>
    <row r="846" spans="1:10" x14ac:dyDescent="0.45">
      <c r="A846">
        <v>-6.0279035096755251E-3</v>
      </c>
      <c r="B846">
        <f t="shared" si="71"/>
        <v>3.6335620721958517E-5</v>
      </c>
      <c r="F846">
        <f t="shared" si="69"/>
        <v>9.3305155969487748E-5</v>
      </c>
      <c r="G846" s="1">
        <f t="shared" si="70"/>
        <v>9.6594594035840191E-3</v>
      </c>
      <c r="H846" s="1">
        <f t="shared" si="66"/>
        <v>1.5889810718895711E-2</v>
      </c>
      <c r="I846">
        <f t="shared" si="67"/>
        <v>15889.810718895711</v>
      </c>
      <c r="J846">
        <f t="shared" si="68"/>
        <v>35530.696917055611</v>
      </c>
    </row>
    <row r="847" spans="1:10" x14ac:dyDescent="0.45">
      <c r="A847">
        <v>1.2430518836481497E-4</v>
      </c>
      <c r="B847">
        <f t="shared" si="71"/>
        <v>1.545177985441213E-8</v>
      </c>
      <c r="F847">
        <f t="shared" si="69"/>
        <v>9.1593970425419454E-5</v>
      </c>
      <c r="G847" s="1">
        <f t="shared" si="70"/>
        <v>9.5704738871917657E-3</v>
      </c>
      <c r="H847" s="1">
        <f t="shared" si="66"/>
        <v>1.5743429544430455E-2</v>
      </c>
      <c r="I847">
        <f t="shared" si="67"/>
        <v>15743.429544430455</v>
      </c>
      <c r="J847">
        <f t="shared" si="68"/>
        <v>35203.378660325048</v>
      </c>
    </row>
    <row r="848" spans="1:10" x14ac:dyDescent="0.45">
      <c r="A848">
        <v>8.5713736552861519E-3</v>
      </c>
      <c r="B848">
        <f t="shared" si="71"/>
        <v>7.3468446338533484E-5</v>
      </c>
      <c r="F848">
        <f t="shared" si="69"/>
        <v>8.8843121365498234E-5</v>
      </c>
      <c r="G848" s="1">
        <f t="shared" si="70"/>
        <v>9.42566291384846E-3</v>
      </c>
      <c r="H848" s="1">
        <f t="shared" si="66"/>
        <v>1.5505215493280718E-2</v>
      </c>
      <c r="I848">
        <f t="shared" si="67"/>
        <v>15505.215493280717</v>
      </c>
      <c r="J848">
        <f t="shared" si="68"/>
        <v>34670.71584875862</v>
      </c>
    </row>
    <row r="849" spans="1:10" x14ac:dyDescent="0.45">
      <c r="A849">
        <v>-1.6642025002511218E-2</v>
      </c>
      <c r="B849">
        <f t="shared" si="71"/>
        <v>2.769569961842085E-4</v>
      </c>
      <c r="F849">
        <f t="shared" si="69"/>
        <v>8.8355709016262277E-5</v>
      </c>
      <c r="G849" s="1">
        <f t="shared" si="70"/>
        <v>9.3997717534130727E-3</v>
      </c>
      <c r="H849" s="1">
        <f t="shared" si="66"/>
        <v>1.5462624534364505E-2</v>
      </c>
      <c r="I849">
        <f t="shared" si="67"/>
        <v>15462.624534364506</v>
      </c>
      <c r="J849">
        <f t="shared" si="68"/>
        <v>34575.479569395073</v>
      </c>
    </row>
    <row r="850" spans="1:10" x14ac:dyDescent="0.45">
      <c r="A850">
        <v>-2.1009509509894997E-2</v>
      </c>
      <c r="B850">
        <f t="shared" si="71"/>
        <v>4.4139948984636831E-4</v>
      </c>
      <c r="F850">
        <f t="shared" si="69"/>
        <v>9.3808064423516428E-5</v>
      </c>
      <c r="G850" s="1">
        <f t="shared" si="70"/>
        <v>9.6854563353265099E-3</v>
      </c>
      <c r="H850" s="1">
        <f t="shared" si="66"/>
        <v>1.5932575671612111E-2</v>
      </c>
      <c r="I850">
        <f t="shared" si="67"/>
        <v>15932.57567161211</v>
      </c>
      <c r="J850">
        <f t="shared" si="68"/>
        <v>35626.322258384047</v>
      </c>
    </row>
    <row r="851" spans="1:10" x14ac:dyDescent="0.45">
      <c r="A851">
        <v>-1.1463362170616165E-2</v>
      </c>
      <c r="B851">
        <f t="shared" si="71"/>
        <v>1.3140867225471374E-4</v>
      </c>
      <c r="F851">
        <f t="shared" si="69"/>
        <v>1.0423361329552525E-4</v>
      </c>
      <c r="G851" s="1">
        <f t="shared" si="70"/>
        <v>1.0209486436423982E-2</v>
      </c>
      <c r="H851" s="1">
        <f t="shared" si="66"/>
        <v>1.679460518791745E-2</v>
      </c>
      <c r="I851">
        <f t="shared" si="67"/>
        <v>16794.605187917448</v>
      </c>
      <c r="J851">
        <f t="shared" si="68"/>
        <v>37553.878855454044</v>
      </c>
    </row>
    <row r="852" spans="1:10" x14ac:dyDescent="0.45">
      <c r="A852">
        <v>1.2159443940618075E-2</v>
      </c>
      <c r="B852">
        <f t="shared" si="71"/>
        <v>1.4785207694503364E-4</v>
      </c>
      <c r="F852">
        <f t="shared" si="69"/>
        <v>1.0504872607591376E-4</v>
      </c>
      <c r="G852" s="1">
        <f t="shared" si="70"/>
        <v>1.0249328079240793E-2</v>
      </c>
      <c r="H852" s="1">
        <f t="shared" si="66"/>
        <v>1.6860144690351103E-2</v>
      </c>
      <c r="I852">
        <f t="shared" si="67"/>
        <v>16860.144690351102</v>
      </c>
      <c r="J852">
        <f t="shared" si="68"/>
        <v>37700.429638107213</v>
      </c>
    </row>
    <row r="853" spans="1:10" x14ac:dyDescent="0.45">
      <c r="A853">
        <v>-1.7985712474910542E-3</v>
      </c>
      <c r="B853">
        <f t="shared" si="71"/>
        <v>3.2348585323015269E-6</v>
      </c>
      <c r="F853">
        <f t="shared" si="69"/>
        <v>1.0633231062803263E-4</v>
      </c>
      <c r="G853" s="1">
        <f t="shared" si="70"/>
        <v>1.0311755943001785E-2</v>
      </c>
      <c r="H853" s="1">
        <f t="shared" si="66"/>
        <v>1.6962838526237936E-2</v>
      </c>
      <c r="I853">
        <f t="shared" si="67"/>
        <v>16962.838526237934</v>
      </c>
      <c r="J853">
        <f t="shared" si="68"/>
        <v>37930.060036020375</v>
      </c>
    </row>
    <row r="854" spans="1:10" x14ac:dyDescent="0.45">
      <c r="A854">
        <v>1.7395109352946747E-3</v>
      </c>
      <c r="B854">
        <f t="shared" si="71"/>
        <v>3.0258982940097541E-6</v>
      </c>
      <c r="F854">
        <f t="shared" si="69"/>
        <v>1.0323169888075393E-4</v>
      </c>
      <c r="G854" s="1">
        <f t="shared" si="70"/>
        <v>1.0160300137336197E-2</v>
      </c>
      <c r="H854" s="1">
        <f t="shared" si="66"/>
        <v>1.6713693725918043E-2</v>
      </c>
      <c r="I854">
        <f t="shared" si="67"/>
        <v>16713.693725918041</v>
      </c>
      <c r="J854">
        <f t="shared" si="68"/>
        <v>37372.955326264484</v>
      </c>
    </row>
    <row r="855" spans="1:10" x14ac:dyDescent="0.45">
      <c r="A855">
        <v>3.3110950425907504E-3</v>
      </c>
      <c r="B855">
        <f t="shared" si="71"/>
        <v>1.0963350381069043E-5</v>
      </c>
      <c r="F855">
        <f t="shared" si="69"/>
        <v>1.0022309058819495E-4</v>
      </c>
      <c r="G855" s="1">
        <f t="shared" si="70"/>
        <v>1.0011148315163199E-2</v>
      </c>
      <c r="H855" s="1">
        <f t="shared" si="66"/>
        <v>1.6468338978443461E-2</v>
      </c>
      <c r="I855">
        <f t="shared" si="67"/>
        <v>16468.338978443462</v>
      </c>
      <c r="J855">
        <f t="shared" si="68"/>
        <v>36824.32543230903</v>
      </c>
    </row>
    <row r="856" spans="1:10" x14ac:dyDescent="0.45">
      <c r="A856">
        <v>-8.5990222942200489E-3</v>
      </c>
      <c r="B856">
        <f t="shared" si="71"/>
        <v>7.3943184416493435E-5</v>
      </c>
      <c r="F856">
        <f t="shared" si="69"/>
        <v>9.7538087670929978E-5</v>
      </c>
      <c r="G856" s="1">
        <f t="shared" si="70"/>
        <v>9.8761372849373637E-3</v>
      </c>
      <c r="H856" s="1">
        <f t="shared" si="66"/>
        <v>1.6246245833721962E-2</v>
      </c>
      <c r="I856">
        <f t="shared" si="67"/>
        <v>16246.245833721963</v>
      </c>
      <c r="J856">
        <f t="shared" si="68"/>
        <v>36327.71006337506</v>
      </c>
    </row>
    <row r="857" spans="1:10" x14ac:dyDescent="0.45">
      <c r="A857">
        <v>-9.1921720013488084E-3</v>
      </c>
      <c r="B857">
        <f t="shared" si="71"/>
        <v>8.4496026102380957E-5</v>
      </c>
      <c r="F857">
        <f t="shared" si="69"/>
        <v>9.6772481855398153E-5</v>
      </c>
      <c r="G857" s="1">
        <f t="shared" si="70"/>
        <v>9.8373005370069964E-3</v>
      </c>
      <c r="H857" s="1">
        <f t="shared" si="66"/>
        <v>1.6182359383376508E-2</v>
      </c>
      <c r="I857">
        <f t="shared" si="67"/>
        <v>16182.359383376508</v>
      </c>
      <c r="J857">
        <f t="shared" si="68"/>
        <v>36184.855617561458</v>
      </c>
    </row>
    <row r="858" spans="1:10" x14ac:dyDescent="0.45">
      <c r="A858">
        <v>1.4287343219621107E-2</v>
      </c>
      <c r="B858">
        <f t="shared" si="71"/>
        <v>2.0412817627525322E-4</v>
      </c>
      <c r="F858">
        <f t="shared" si="69"/>
        <v>9.6404182989008827E-5</v>
      </c>
      <c r="G858" s="1">
        <f t="shared" si="70"/>
        <v>9.8185631835319385E-3</v>
      </c>
      <c r="H858" s="1">
        <f t="shared" ref="H858:H921" si="72">G858*$H$1</f>
        <v>1.615153643691004E-2</v>
      </c>
      <c r="I858">
        <f t="shared" ref="I858:I921" si="73">H858*$K$1</f>
        <v>16151.536436910041</v>
      </c>
      <c r="J858">
        <f t="shared" ref="J858:J921" si="74">I858*SQRT($K$2)</f>
        <v>36115.933413995597</v>
      </c>
    </row>
    <row r="859" spans="1:10" x14ac:dyDescent="0.45">
      <c r="A859">
        <v>1.241496647708118E-2</v>
      </c>
      <c r="B859">
        <f t="shared" si="71"/>
        <v>1.5413139262704948E-4</v>
      </c>
      <c r="F859">
        <f t="shared" ref="F859:F922" si="75">(1-$E$1)*SUMPRODUCT($E$2:$E$152,B708:B858)</f>
        <v>9.9635169541477907E-5</v>
      </c>
      <c r="G859" s="1">
        <f t="shared" ref="G859:G922" si="76">SQRT(F859)</f>
        <v>9.9817418089969603E-3</v>
      </c>
      <c r="H859" s="1">
        <f t="shared" si="72"/>
        <v>1.6419965275799999E-2</v>
      </c>
      <c r="I859">
        <f t="shared" si="73"/>
        <v>16419.965275799997</v>
      </c>
      <c r="J859">
        <f t="shared" si="74"/>
        <v>36716.158544874881</v>
      </c>
    </row>
    <row r="860" spans="1:10" x14ac:dyDescent="0.45">
      <c r="A860">
        <v>3.2340176403522491E-2</v>
      </c>
      <c r="B860">
        <f t="shared" si="71"/>
        <v>1.045887009810953E-3</v>
      </c>
      <c r="F860">
        <f t="shared" si="75"/>
        <v>1.0126981198511665E-4</v>
      </c>
      <c r="G860" s="1">
        <f t="shared" si="76"/>
        <v>1.0063290316050544E-2</v>
      </c>
      <c r="H860" s="1">
        <f t="shared" si="72"/>
        <v>1.6554112569903145E-2</v>
      </c>
      <c r="I860">
        <f t="shared" si="73"/>
        <v>16554.112569903144</v>
      </c>
      <c r="J860">
        <f t="shared" si="74"/>
        <v>37016.121013487173</v>
      </c>
    </row>
    <row r="861" spans="1:10" x14ac:dyDescent="0.45">
      <c r="A861">
        <v>-6.1883156377007253E-3</v>
      </c>
      <c r="B861">
        <f t="shared" si="71"/>
        <v>3.8295250431811334E-5</v>
      </c>
      <c r="F861">
        <f t="shared" si="75"/>
        <v>1.2960359966260283E-4</v>
      </c>
      <c r="G861" s="1">
        <f t="shared" si="76"/>
        <v>1.1384357674572722E-2</v>
      </c>
      <c r="H861" s="1">
        <f t="shared" si="72"/>
        <v>1.8727268374672128E-2</v>
      </c>
      <c r="I861">
        <f t="shared" si="73"/>
        <v>18727.268374672127</v>
      </c>
      <c r="J861">
        <f t="shared" si="74"/>
        <v>41875.44511864888</v>
      </c>
    </row>
    <row r="862" spans="1:10" x14ac:dyDescent="0.45">
      <c r="A862">
        <v>-5.2502400649245828E-3</v>
      </c>
      <c r="B862">
        <f t="shared" si="71"/>
        <v>2.7565020739339287E-5</v>
      </c>
      <c r="F862">
        <f t="shared" si="75"/>
        <v>1.2686376142380412E-4</v>
      </c>
      <c r="G862" s="1">
        <f t="shared" si="76"/>
        <v>1.1263381438262851E-2</v>
      </c>
      <c r="H862" s="1">
        <f t="shared" si="72"/>
        <v>1.8528262465942389E-2</v>
      </c>
      <c r="I862">
        <f t="shared" si="73"/>
        <v>18528.262465942389</v>
      </c>
      <c r="J862">
        <f t="shared" si="74"/>
        <v>41430.454378805065</v>
      </c>
    </row>
    <row r="863" spans="1:10" x14ac:dyDescent="0.45">
      <c r="A863">
        <v>-2.9975126381032169E-3</v>
      </c>
      <c r="B863">
        <f t="shared" si="71"/>
        <v>8.9850820155885069E-6</v>
      </c>
      <c r="F863">
        <f t="shared" si="75"/>
        <v>1.2384079051451442E-4</v>
      </c>
      <c r="G863" s="1">
        <f t="shared" si="76"/>
        <v>1.1128377712609975E-2</v>
      </c>
      <c r="H863" s="1">
        <f t="shared" si="72"/>
        <v>1.8306181337243408E-2</v>
      </c>
      <c r="I863">
        <f t="shared" si="73"/>
        <v>18306.181337243408</v>
      </c>
      <c r="J863">
        <f t="shared" si="74"/>
        <v>40933.865878514262</v>
      </c>
    </row>
    <row r="864" spans="1:10" x14ac:dyDescent="0.45">
      <c r="A864">
        <v>-1.8916762201115489E-2</v>
      </c>
      <c r="B864">
        <f t="shared" si="71"/>
        <v>3.5784389217355172E-4</v>
      </c>
      <c r="F864">
        <f t="shared" si="75"/>
        <v>1.2035504489090405E-4</v>
      </c>
      <c r="G864" s="1">
        <f t="shared" si="76"/>
        <v>1.097064468893711E-2</v>
      </c>
      <c r="H864" s="1">
        <f t="shared" si="72"/>
        <v>1.8046710513301548E-2</v>
      </c>
      <c r="I864">
        <f t="shared" si="73"/>
        <v>18046.710513301547</v>
      </c>
      <c r="J864">
        <f t="shared" si="74"/>
        <v>40353.671478002383</v>
      </c>
    </row>
    <row r="865" spans="1:10" x14ac:dyDescent="0.45">
      <c r="A865">
        <v>3.1474883144255728E-3</v>
      </c>
      <c r="B865">
        <f t="shared" si="71"/>
        <v>9.9066826894455323E-6</v>
      </c>
      <c r="F865">
        <f t="shared" si="75"/>
        <v>1.2743557409232507E-4</v>
      </c>
      <c r="G865" s="1">
        <f t="shared" si="76"/>
        <v>1.1288736603018297E-2</v>
      </c>
      <c r="H865" s="1">
        <f t="shared" si="72"/>
        <v>1.8569971711965099E-2</v>
      </c>
      <c r="I865">
        <f t="shared" si="73"/>
        <v>18569.9717119651</v>
      </c>
      <c r="J865">
        <f t="shared" si="74"/>
        <v>41523.71908820211</v>
      </c>
    </row>
    <row r="866" spans="1:10" x14ac:dyDescent="0.45">
      <c r="A866">
        <v>-1.4098850442678668E-2</v>
      </c>
      <c r="B866">
        <f t="shared" si="71"/>
        <v>1.9877758380502046E-4</v>
      </c>
      <c r="F866">
        <f t="shared" si="75"/>
        <v>1.2390520325923656E-4</v>
      </c>
      <c r="G866" s="1">
        <f t="shared" si="76"/>
        <v>1.1131271412522317E-2</v>
      </c>
      <c r="H866" s="1">
        <f t="shared" si="72"/>
        <v>1.8310941473599209E-2</v>
      </c>
      <c r="I866">
        <f t="shared" si="73"/>
        <v>18310.94147359921</v>
      </c>
      <c r="J866">
        <f t="shared" si="74"/>
        <v>40944.50986698801</v>
      </c>
    </row>
    <row r="867" spans="1:10" x14ac:dyDescent="0.45">
      <c r="A867">
        <v>1.7594902601558715E-2</v>
      </c>
      <c r="B867">
        <f t="shared" si="71"/>
        <v>3.0958059755833766E-4</v>
      </c>
      <c r="F867">
        <f t="shared" si="75"/>
        <v>1.2613980508248036E-4</v>
      </c>
      <c r="G867" s="1">
        <f t="shared" si="76"/>
        <v>1.1231197847179096E-2</v>
      </c>
      <c r="H867" s="1">
        <f t="shared" si="72"/>
        <v>1.8475320458609612E-2</v>
      </c>
      <c r="I867">
        <f t="shared" si="73"/>
        <v>18475.320458609611</v>
      </c>
      <c r="J867">
        <f t="shared" si="74"/>
        <v>41312.072451543681</v>
      </c>
    </row>
    <row r="868" spans="1:10" x14ac:dyDescent="0.45">
      <c r="A868">
        <v>-9.2671143647748977E-3</v>
      </c>
      <c r="B868">
        <f t="shared" si="71"/>
        <v>8.5879408649817255E-5</v>
      </c>
      <c r="F868">
        <f t="shared" si="75"/>
        <v>1.316334218841202E-4</v>
      </c>
      <c r="G868" s="1">
        <f t="shared" si="76"/>
        <v>1.1473160936904887E-2</v>
      </c>
      <c r="H868" s="1">
        <f t="shared" si="72"/>
        <v>1.887334974120854E-2</v>
      </c>
      <c r="I868">
        <f t="shared" si="73"/>
        <v>18873.349741208542</v>
      </c>
      <c r="J868">
        <f t="shared" si="74"/>
        <v>42202.092984470364</v>
      </c>
    </row>
    <row r="869" spans="1:10" x14ac:dyDescent="0.45">
      <c r="A869">
        <v>3.1989657145459205E-3</v>
      </c>
      <c r="B869">
        <f t="shared" si="71"/>
        <v>1.0233381642840291E-5</v>
      </c>
      <c r="F869">
        <f t="shared" si="75"/>
        <v>1.3025493916623472E-4</v>
      </c>
      <c r="G869" s="1">
        <f t="shared" si="76"/>
        <v>1.1412928597263488E-2</v>
      </c>
      <c r="H869" s="1">
        <f t="shared" si="72"/>
        <v>1.8774267542498439E-2</v>
      </c>
      <c r="I869">
        <f t="shared" si="73"/>
        <v>18774.267542498441</v>
      </c>
      <c r="J869">
        <f t="shared" si="74"/>
        <v>41980.538452794441</v>
      </c>
    </row>
    <row r="870" spans="1:10" x14ac:dyDescent="0.45">
      <c r="A870">
        <v>-1.2413011063472368E-3</v>
      </c>
      <c r="B870">
        <f t="shared" si="71"/>
        <v>1.540828436618874E-6</v>
      </c>
      <c r="F870">
        <f t="shared" si="75"/>
        <v>1.2664290876926893E-4</v>
      </c>
      <c r="G870" s="1">
        <f t="shared" si="76"/>
        <v>1.1253573155636788E-2</v>
      </c>
      <c r="H870" s="1">
        <f t="shared" si="72"/>
        <v>1.8512127841022515E-2</v>
      </c>
      <c r="I870">
        <f t="shared" si="73"/>
        <v>18512.127841022517</v>
      </c>
      <c r="J870">
        <f t="shared" si="74"/>
        <v>41394.37626069277</v>
      </c>
    </row>
    <row r="871" spans="1:10" x14ac:dyDescent="0.45">
      <c r="A871">
        <v>1.9340177459525876E-3</v>
      </c>
      <c r="B871">
        <f t="shared" si="71"/>
        <v>3.7404246416595275E-6</v>
      </c>
      <c r="F871">
        <f t="shared" si="75"/>
        <v>1.2288581717999973E-4</v>
      </c>
      <c r="G871" s="1">
        <f t="shared" si="76"/>
        <v>1.1085387552088549E-2</v>
      </c>
      <c r="H871" s="1">
        <f t="shared" si="72"/>
        <v>1.8235462523185662E-2</v>
      </c>
      <c r="I871">
        <f t="shared" si="73"/>
        <v>18235.462523185663</v>
      </c>
      <c r="J871">
        <f t="shared" si="74"/>
        <v>40775.733802992982</v>
      </c>
    </row>
    <row r="872" spans="1:10" x14ac:dyDescent="0.45">
      <c r="A872">
        <v>1.4010538507136516E-3</v>
      </c>
      <c r="B872">
        <f t="shared" si="71"/>
        <v>1.9629518925995512E-6</v>
      </c>
      <c r="F872">
        <f t="shared" si="75"/>
        <v>1.1929598738543284E-4</v>
      </c>
      <c r="G872" s="1">
        <f t="shared" si="76"/>
        <v>1.0922270248690647E-2</v>
      </c>
      <c r="H872" s="1">
        <f t="shared" si="72"/>
        <v>1.7967134559096116E-2</v>
      </c>
      <c r="I872">
        <f t="shared" si="73"/>
        <v>17967.134559096117</v>
      </c>
      <c r="J872">
        <f t="shared" si="74"/>
        <v>40175.734235024633</v>
      </c>
    </row>
    <row r="873" spans="1:10" x14ac:dyDescent="0.45">
      <c r="A873">
        <v>1.5657974472560454E-3</v>
      </c>
      <c r="B873">
        <f t="shared" si="71"/>
        <v>2.4517216458335484E-6</v>
      </c>
      <c r="F873">
        <f t="shared" si="75"/>
        <v>1.1570407372269715E-4</v>
      </c>
      <c r="G873" s="1">
        <f t="shared" si="76"/>
        <v>1.0756582808805832E-2</v>
      </c>
      <c r="H873" s="1">
        <f t="shared" si="72"/>
        <v>1.7694578720485594E-2</v>
      </c>
      <c r="I873">
        <f t="shared" si="73"/>
        <v>17694.578720485595</v>
      </c>
      <c r="J873">
        <f t="shared" si="74"/>
        <v>39566.280852227042</v>
      </c>
    </row>
    <row r="874" spans="1:10" x14ac:dyDescent="0.45">
      <c r="A874">
        <v>-9.6854137154878117E-3</v>
      </c>
      <c r="B874">
        <f t="shared" si="71"/>
        <v>9.380723884015942E-5</v>
      </c>
      <c r="F874">
        <f t="shared" si="75"/>
        <v>1.1206744905908485E-4</v>
      </c>
      <c r="G874" s="1">
        <f t="shared" si="76"/>
        <v>1.0586191433139911E-2</v>
      </c>
      <c r="H874" s="1">
        <f t="shared" si="72"/>
        <v>1.7414284907515155E-2</v>
      </c>
      <c r="I874">
        <f t="shared" si="73"/>
        <v>17414.284907515157</v>
      </c>
      <c r="J874">
        <f t="shared" si="74"/>
        <v>38939.524832752533</v>
      </c>
    </row>
    <row r="875" spans="1:10" x14ac:dyDescent="0.45">
      <c r="A875">
        <v>3.0279352358775213E-3</v>
      </c>
      <c r="B875">
        <f t="shared" si="71"/>
        <v>9.1683917926686606E-6</v>
      </c>
      <c r="F875">
        <f t="shared" si="75"/>
        <v>1.1145108016774663E-4</v>
      </c>
      <c r="G875" s="1">
        <f t="shared" si="76"/>
        <v>1.0557039365643506E-2</v>
      </c>
      <c r="H875" s="1">
        <f t="shared" si="72"/>
        <v>1.7366329756483567E-2</v>
      </c>
      <c r="I875">
        <f t="shared" si="73"/>
        <v>17366.329756483567</v>
      </c>
      <c r="J875">
        <f t="shared" si="74"/>
        <v>38832.293855174627</v>
      </c>
    </row>
    <row r="876" spans="1:10" x14ac:dyDescent="0.45">
      <c r="A876">
        <v>1.4381384971784428E-3</v>
      </c>
      <c r="B876">
        <f t="shared" si="71"/>
        <v>2.0682423370666696E-6</v>
      </c>
      <c r="F876">
        <f t="shared" si="75"/>
        <v>1.0837987226923388E-4</v>
      </c>
      <c r="G876" s="1">
        <f t="shared" si="76"/>
        <v>1.0410565415443768E-2</v>
      </c>
      <c r="H876" s="1">
        <f t="shared" si="72"/>
        <v>1.7125380108404999E-2</v>
      </c>
      <c r="I876">
        <f t="shared" si="73"/>
        <v>17125.380108404999</v>
      </c>
      <c r="J876">
        <f t="shared" si="74"/>
        <v>38293.5140629163</v>
      </c>
    </row>
    <row r="877" spans="1:10" x14ac:dyDescent="0.45">
      <c r="A877">
        <v>-1.4000306691741571E-2</v>
      </c>
      <c r="B877">
        <f t="shared" si="71"/>
        <v>1.9600858746282381E-4</v>
      </c>
      <c r="F877">
        <f t="shared" si="75"/>
        <v>1.05074532967382E-4</v>
      </c>
      <c r="G877" s="1">
        <f t="shared" si="76"/>
        <v>1.0250586957212841E-2</v>
      </c>
      <c r="H877" s="1">
        <f t="shared" si="72"/>
        <v>1.6862215544615124E-2</v>
      </c>
      <c r="I877">
        <f t="shared" si="73"/>
        <v>16862.215544615123</v>
      </c>
      <c r="J877">
        <f t="shared" si="74"/>
        <v>37705.060209013056</v>
      </c>
    </row>
    <row r="878" spans="1:10" x14ac:dyDescent="0.45">
      <c r="A878">
        <v>-4.7543153414153494E-3</v>
      </c>
      <c r="B878">
        <f t="shared" si="71"/>
        <v>2.260351436561735E-5</v>
      </c>
      <c r="F878">
        <f t="shared" si="75"/>
        <v>1.0775600768201669E-4</v>
      </c>
      <c r="G878" s="1">
        <f t="shared" si="76"/>
        <v>1.0380559121840051E-2</v>
      </c>
      <c r="H878" s="1">
        <f t="shared" si="72"/>
        <v>1.7076019755426886E-2</v>
      </c>
      <c r="I878">
        <f t="shared" si="73"/>
        <v>17076.019755426885</v>
      </c>
      <c r="J878">
        <f t="shared" si="74"/>
        <v>38183.140958263852</v>
      </c>
    </row>
    <row r="879" spans="1:10" x14ac:dyDescent="0.45">
      <c r="A879">
        <v>-7.7051822700013872E-3</v>
      </c>
      <c r="B879">
        <f t="shared" si="71"/>
        <v>5.9369833813943733E-5</v>
      </c>
      <c r="F879">
        <f t="shared" si="75"/>
        <v>1.0509164094530824E-4</v>
      </c>
      <c r="G879" s="1">
        <f t="shared" si="76"/>
        <v>1.0251421410970686E-2</v>
      </c>
      <c r="H879" s="1">
        <f t="shared" si="72"/>
        <v>1.686358822104678E-2</v>
      </c>
      <c r="I879">
        <f t="shared" si="73"/>
        <v>16863.588221046779</v>
      </c>
      <c r="J879">
        <f t="shared" si="74"/>
        <v>37708.12960682535</v>
      </c>
    </row>
    <row r="880" spans="1:10" x14ac:dyDescent="0.45">
      <c r="A880">
        <v>-1.4860279407002963E-2</v>
      </c>
      <c r="B880">
        <f t="shared" si="71"/>
        <v>2.2082790405419635E-4</v>
      </c>
      <c r="F880">
        <f t="shared" si="75"/>
        <v>1.0371995768575245E-4</v>
      </c>
      <c r="G880" s="1">
        <f t="shared" si="76"/>
        <v>1.0184299567753909E-2</v>
      </c>
      <c r="H880" s="1">
        <f t="shared" si="72"/>
        <v>1.6753172788955179E-2</v>
      </c>
      <c r="I880">
        <f t="shared" si="73"/>
        <v>16753.17278895518</v>
      </c>
      <c r="J880">
        <f t="shared" si="74"/>
        <v>37461.233194903522</v>
      </c>
    </row>
    <row r="881" spans="1:10" x14ac:dyDescent="0.45">
      <c r="A881">
        <v>-9.8394139058655128E-3</v>
      </c>
      <c r="B881">
        <f t="shared" si="71"/>
        <v>9.6814066010939633E-5</v>
      </c>
      <c r="F881">
        <f t="shared" si="75"/>
        <v>1.0721486556555976E-4</v>
      </c>
      <c r="G881" s="1">
        <f t="shared" si="76"/>
        <v>1.0354461143176875E-2</v>
      </c>
      <c r="H881" s="1">
        <f t="shared" si="72"/>
        <v>1.7033088580525959E-2</v>
      </c>
      <c r="I881">
        <f t="shared" si="73"/>
        <v>17033.08858052596</v>
      </c>
      <c r="J881">
        <f t="shared" si="74"/>
        <v>38087.143932831452</v>
      </c>
    </row>
    <row r="882" spans="1:10" x14ac:dyDescent="0.45">
      <c r="A882">
        <v>7.476955943275243E-4</v>
      </c>
      <c r="B882">
        <f t="shared" si="71"/>
        <v>5.5904870177678979E-7</v>
      </c>
      <c r="F882">
        <f t="shared" si="75"/>
        <v>1.0689885732662798E-4</v>
      </c>
      <c r="G882" s="1">
        <f t="shared" si="76"/>
        <v>1.0339190361272394E-2</v>
      </c>
      <c r="H882" s="1">
        <f t="shared" si="72"/>
        <v>1.700796814429309E-2</v>
      </c>
      <c r="I882">
        <f t="shared" si="73"/>
        <v>17007.968144293089</v>
      </c>
      <c r="J882">
        <f t="shared" si="74"/>
        <v>38030.972929790303</v>
      </c>
    </row>
    <row r="883" spans="1:10" x14ac:dyDescent="0.45">
      <c r="A883">
        <v>-5.5574219004483894E-3</v>
      </c>
      <c r="B883">
        <f t="shared" si="71"/>
        <v>3.0884938179583389E-5</v>
      </c>
      <c r="F883">
        <f t="shared" si="75"/>
        <v>1.0368838615408092E-4</v>
      </c>
      <c r="G883" s="1">
        <f t="shared" si="76"/>
        <v>1.0182749439816386E-2</v>
      </c>
      <c r="H883" s="1">
        <f t="shared" si="72"/>
        <v>1.6750622828497954E-2</v>
      </c>
      <c r="I883">
        <f t="shared" si="73"/>
        <v>16750.622828497955</v>
      </c>
      <c r="J883">
        <f t="shared" si="74"/>
        <v>37455.531309981234</v>
      </c>
    </row>
    <row r="884" spans="1:10" x14ac:dyDescent="0.45">
      <c r="A884">
        <v>8.9119112089974806E-5</v>
      </c>
      <c r="B884">
        <f t="shared" si="71"/>
        <v>7.9422161397054936E-9</v>
      </c>
      <c r="F884">
        <f t="shared" si="75"/>
        <v>1.0146661246551776E-4</v>
      </c>
      <c r="G884" s="1">
        <f t="shared" si="76"/>
        <v>1.007306370800452E-2</v>
      </c>
      <c r="H884" s="1">
        <f t="shared" si="72"/>
        <v>1.6570189799667435E-2</v>
      </c>
      <c r="I884">
        <f t="shared" si="73"/>
        <v>16570.189799667434</v>
      </c>
      <c r="J884">
        <f t="shared" si="74"/>
        <v>37052.070792130005</v>
      </c>
    </row>
    <row r="885" spans="1:10" x14ac:dyDescent="0.45">
      <c r="A885">
        <v>4.009780241176486E-3</v>
      </c>
      <c r="B885">
        <f t="shared" si="71"/>
        <v>1.6078337582529358E-5</v>
      </c>
      <c r="F885">
        <f t="shared" si="75"/>
        <v>9.8420242767650149E-5</v>
      </c>
      <c r="G885" s="1">
        <f t="shared" si="76"/>
        <v>9.9206976956084172E-3</v>
      </c>
      <c r="H885" s="1">
        <f t="shared" si="72"/>
        <v>1.6319547709275847E-2</v>
      </c>
      <c r="I885">
        <f t="shared" si="73"/>
        <v>16319.547709275847</v>
      </c>
      <c r="J885">
        <f t="shared" si="74"/>
        <v>36491.618039991772</v>
      </c>
    </row>
    <row r="886" spans="1:10" x14ac:dyDescent="0.45">
      <c r="A886">
        <v>-1.4038050721865147E-4</v>
      </c>
      <c r="B886">
        <f t="shared" si="71"/>
        <v>1.9706686806965858E-8</v>
      </c>
      <c r="F886">
        <f t="shared" si="75"/>
        <v>9.5949828479879941E-5</v>
      </c>
      <c r="G886" s="1">
        <f t="shared" si="76"/>
        <v>9.7953983318637902E-3</v>
      </c>
      <c r="H886" s="1">
        <f t="shared" si="72"/>
        <v>1.6113430255915936E-2</v>
      </c>
      <c r="I886">
        <f t="shared" si="73"/>
        <v>16113.430255915935</v>
      </c>
      <c r="J886">
        <f t="shared" si="74"/>
        <v>36030.725402929864</v>
      </c>
    </row>
    <row r="887" spans="1:10" x14ac:dyDescent="0.45">
      <c r="A887">
        <v>1.2366854207357392E-3</v>
      </c>
      <c r="B887">
        <f t="shared" si="71"/>
        <v>1.5293908298603322E-6</v>
      </c>
      <c r="F887">
        <f t="shared" si="75"/>
        <v>9.305741186756066E-5</v>
      </c>
      <c r="G887" s="1">
        <f t="shared" si="76"/>
        <v>9.6466269684051045E-3</v>
      </c>
      <c r="H887" s="1">
        <f t="shared" si="72"/>
        <v>1.5868701363026396E-2</v>
      </c>
      <c r="I887">
        <f t="shared" si="73"/>
        <v>15868.701363026395</v>
      </c>
      <c r="J887">
        <f t="shared" si="74"/>
        <v>35483.494962370591</v>
      </c>
    </row>
    <row r="888" spans="1:10" x14ac:dyDescent="0.45">
      <c r="A888">
        <v>8.5261717686080374E-3</v>
      </c>
      <c r="B888">
        <f t="shared" si="71"/>
        <v>7.2695605027808704E-5</v>
      </c>
      <c r="F888">
        <f t="shared" si="75"/>
        <v>9.0311569757962039E-5</v>
      </c>
      <c r="G888" s="1">
        <f t="shared" si="76"/>
        <v>9.5032399610849583E-3</v>
      </c>
      <c r="H888" s="1">
        <f t="shared" si="72"/>
        <v>1.5632829735984757E-2</v>
      </c>
      <c r="I888">
        <f t="shared" si="73"/>
        <v>15632.829735984757</v>
      </c>
      <c r="J888">
        <f t="shared" si="74"/>
        <v>34956.06997034201</v>
      </c>
    </row>
    <row r="889" spans="1:10" x14ac:dyDescent="0.45">
      <c r="A889">
        <v>1.256175892194733E-2</v>
      </c>
      <c r="B889">
        <f t="shared" si="71"/>
        <v>1.5779778721312335E-4</v>
      </c>
      <c r="F889">
        <f t="shared" si="75"/>
        <v>8.9782836029990464E-5</v>
      </c>
      <c r="G889" s="1">
        <f t="shared" si="76"/>
        <v>9.4753805216461085E-3</v>
      </c>
      <c r="H889" s="1">
        <f t="shared" si="72"/>
        <v>1.5587000958107848E-2</v>
      </c>
      <c r="I889">
        <f t="shared" si="73"/>
        <v>15587.000958107848</v>
      </c>
      <c r="J889">
        <f t="shared" si="74"/>
        <v>34853.593707683503</v>
      </c>
    </row>
    <row r="890" spans="1:10" x14ac:dyDescent="0.45">
      <c r="A890">
        <v>-7.4019453677465208E-3</v>
      </c>
      <c r="B890">
        <f t="shared" si="71"/>
        <v>5.4788795227104176E-5</v>
      </c>
      <c r="F890">
        <f t="shared" si="75"/>
        <v>9.1823063110161552E-5</v>
      </c>
      <c r="G890" s="1">
        <f t="shared" si="76"/>
        <v>9.5824351346701815E-3</v>
      </c>
      <c r="H890" s="1">
        <f t="shared" si="72"/>
        <v>1.5763105796532447E-2</v>
      </c>
      <c r="I890">
        <f t="shared" si="73"/>
        <v>15763.105796532447</v>
      </c>
      <c r="J890">
        <f t="shared" si="74"/>
        <v>35247.376097567525</v>
      </c>
    </row>
    <row r="891" spans="1:10" x14ac:dyDescent="0.45">
      <c r="A891">
        <v>-3.235231815779116E-3</v>
      </c>
      <c r="B891">
        <f t="shared" si="71"/>
        <v>1.0466724901829436E-5</v>
      </c>
      <c r="F891">
        <f t="shared" si="75"/>
        <v>9.0584576098511464E-5</v>
      </c>
      <c r="G891" s="1">
        <f t="shared" si="76"/>
        <v>9.5175929781910439E-3</v>
      </c>
      <c r="H891" s="1">
        <f t="shared" si="72"/>
        <v>1.5656440449124266E-2</v>
      </c>
      <c r="I891">
        <f t="shared" si="73"/>
        <v>15656.440449124266</v>
      </c>
      <c r="J891">
        <f t="shared" si="74"/>
        <v>35008.865129919199</v>
      </c>
    </row>
    <row r="892" spans="1:10" x14ac:dyDescent="0.45">
      <c r="A892">
        <v>-1.5164778233156539E-2</v>
      </c>
      <c r="B892">
        <f t="shared" si="71"/>
        <v>2.2997049886081837E-4</v>
      </c>
      <c r="F892">
        <f t="shared" si="75"/>
        <v>8.8180868381684349E-5</v>
      </c>
      <c r="G892" s="1">
        <f t="shared" si="76"/>
        <v>9.3904668883759094E-3</v>
      </c>
      <c r="H892" s="1">
        <f t="shared" si="72"/>
        <v>1.5447318031378372E-2</v>
      </c>
      <c r="I892">
        <f t="shared" si="73"/>
        <v>15447.318031378372</v>
      </c>
      <c r="J892">
        <f t="shared" si="74"/>
        <v>34541.253188220275</v>
      </c>
    </row>
    <row r="893" spans="1:10" x14ac:dyDescent="0.45">
      <c r="A893">
        <v>-1.4288616512203589E-3</v>
      </c>
      <c r="B893">
        <f t="shared" si="71"/>
        <v>2.0416456183281704E-6</v>
      </c>
      <c r="F893">
        <f t="shared" si="75"/>
        <v>9.2433052061792446E-5</v>
      </c>
      <c r="G893" s="1">
        <f t="shared" si="76"/>
        <v>9.6142109432751921E-3</v>
      </c>
      <c r="H893" s="1">
        <f t="shared" si="72"/>
        <v>1.581537700168769E-2</v>
      </c>
      <c r="I893">
        <f t="shared" si="73"/>
        <v>15815.37700168769</v>
      </c>
      <c r="J893">
        <f t="shared" si="74"/>
        <v>35364.258065560483</v>
      </c>
    </row>
    <row r="894" spans="1:10" x14ac:dyDescent="0.45">
      <c r="A894">
        <v>2.2887252271175385E-2</v>
      </c>
      <c r="B894">
        <f t="shared" si="71"/>
        <v>5.238263165244228E-4</v>
      </c>
      <c r="F894">
        <f t="shared" si="75"/>
        <v>8.9706719438154272E-5</v>
      </c>
      <c r="G894" s="1">
        <f t="shared" si="76"/>
        <v>9.4713631246064189E-3</v>
      </c>
      <c r="H894" s="1">
        <f t="shared" si="72"/>
        <v>1.5580392339977558E-2</v>
      </c>
      <c r="I894">
        <f t="shared" si="73"/>
        <v>15580.392339977558</v>
      </c>
      <c r="J894">
        <f t="shared" si="74"/>
        <v>34838.816388306834</v>
      </c>
    </row>
    <row r="895" spans="1:10" x14ac:dyDescent="0.45">
      <c r="A895">
        <v>4.8599304136587307E-3</v>
      </c>
      <c r="B895">
        <f t="shared" si="71"/>
        <v>2.3618923625605123E-5</v>
      </c>
      <c r="F895">
        <f t="shared" si="75"/>
        <v>1.0272355770402021E-4</v>
      </c>
      <c r="G895" s="1">
        <f t="shared" si="76"/>
        <v>1.0135263080158314E-2</v>
      </c>
      <c r="H895" s="1">
        <f t="shared" si="72"/>
        <v>1.6672507766860425E-2</v>
      </c>
      <c r="I895">
        <f t="shared" si="73"/>
        <v>16672.507766860424</v>
      </c>
      <c r="J895">
        <f t="shared" si="74"/>
        <v>37280.86072209313</v>
      </c>
    </row>
    <row r="896" spans="1:10" x14ac:dyDescent="0.45">
      <c r="A896">
        <v>1.6853482520673424E-2</v>
      </c>
      <c r="B896">
        <f t="shared" si="71"/>
        <v>2.8403987307464463E-4</v>
      </c>
      <c r="F896">
        <f t="shared" si="75"/>
        <v>1.00230565594341E-4</v>
      </c>
      <c r="G896" s="1">
        <f t="shared" si="76"/>
        <v>1.0011521642304979E-2</v>
      </c>
      <c r="H896" s="1">
        <f t="shared" si="72"/>
        <v>1.6468953101591691E-2</v>
      </c>
      <c r="I896">
        <f t="shared" si="73"/>
        <v>16468.953101591691</v>
      </c>
      <c r="J896">
        <f t="shared" si="74"/>
        <v>36825.69865341502</v>
      </c>
    </row>
    <row r="897" spans="1:10" x14ac:dyDescent="0.45">
      <c r="A897">
        <v>-5.8898876886814833E-4</v>
      </c>
      <c r="B897">
        <f t="shared" si="71"/>
        <v>3.4690776985281705E-7</v>
      </c>
      <c r="F897">
        <f t="shared" si="75"/>
        <v>1.0574471660239295E-4</v>
      </c>
      <c r="G897" s="1">
        <f t="shared" si="76"/>
        <v>1.028322500981054E-2</v>
      </c>
      <c r="H897" s="1">
        <f t="shared" si="72"/>
        <v>1.6915905141138339E-2</v>
      </c>
      <c r="I897">
        <f t="shared" si="73"/>
        <v>16915.905141138341</v>
      </c>
      <c r="J897">
        <f t="shared" si="74"/>
        <v>37825.113796523503</v>
      </c>
    </row>
    <row r="898" spans="1:10" x14ac:dyDescent="0.45">
      <c r="A898">
        <v>-7.8365701483562589E-3</v>
      </c>
      <c r="B898">
        <f t="shared" si="71"/>
        <v>6.1411831690108437E-5</v>
      </c>
      <c r="F898">
        <f t="shared" si="75"/>
        <v>1.0257261824985988E-4</v>
      </c>
      <c r="G898" s="1">
        <f t="shared" si="76"/>
        <v>1.0127814090407658E-2</v>
      </c>
      <c r="H898" s="1">
        <f t="shared" si="72"/>
        <v>1.6660254178720597E-2</v>
      </c>
      <c r="I898">
        <f t="shared" si="73"/>
        <v>16660.254178720596</v>
      </c>
      <c r="J898">
        <f t="shared" si="74"/>
        <v>37253.460866044181</v>
      </c>
    </row>
    <row r="899" spans="1:10" x14ac:dyDescent="0.45">
      <c r="A899">
        <v>5.9912508731940761E-3</v>
      </c>
      <c r="B899">
        <f t="shared" ref="B899:B962" si="77">A899^2</f>
        <v>3.5895087025548783E-5</v>
      </c>
      <c r="F899">
        <f t="shared" si="75"/>
        <v>1.0131562525075428E-4</v>
      </c>
      <c r="G899" s="1">
        <f t="shared" si="76"/>
        <v>1.0065566315451619E-2</v>
      </c>
      <c r="H899" s="1">
        <f t="shared" si="72"/>
        <v>1.6557856588917914E-2</v>
      </c>
      <c r="I899">
        <f t="shared" si="73"/>
        <v>16557.856588917915</v>
      </c>
      <c r="J899">
        <f t="shared" si="74"/>
        <v>37024.492894513249</v>
      </c>
    </row>
    <row r="900" spans="1:10" x14ac:dyDescent="0.45">
      <c r="A900">
        <v>1.4056922736926936E-3</v>
      </c>
      <c r="B900">
        <f t="shared" si="77"/>
        <v>1.9759707683193344E-6</v>
      </c>
      <c r="F900">
        <f t="shared" si="75"/>
        <v>9.9339810216494311E-5</v>
      </c>
      <c r="G900" s="1">
        <f t="shared" si="76"/>
        <v>9.9669358489203851E-3</v>
      </c>
      <c r="H900" s="1">
        <f t="shared" si="72"/>
        <v>1.6395609471474032E-2</v>
      </c>
      <c r="I900">
        <f t="shared" si="73"/>
        <v>16395.609471474032</v>
      </c>
      <c r="J900">
        <f t="shared" si="74"/>
        <v>36661.697310755335</v>
      </c>
    </row>
    <row r="901" spans="1:10" x14ac:dyDescent="0.45">
      <c r="A901">
        <v>1.0831172403413802E-2</v>
      </c>
      <c r="B901">
        <f t="shared" si="77"/>
        <v>1.1731429563247272E-4</v>
      </c>
      <c r="F901">
        <f t="shared" si="75"/>
        <v>9.6385278774228277E-5</v>
      </c>
      <c r="G901" s="1">
        <f t="shared" si="76"/>
        <v>9.8176004590851164E-3</v>
      </c>
      <c r="H901" s="1">
        <f t="shared" si="72"/>
        <v>1.6149952755195016E-2</v>
      </c>
      <c r="I901">
        <f t="shared" si="73"/>
        <v>16149.952755195016</v>
      </c>
      <c r="J901">
        <f t="shared" si="74"/>
        <v>36112.392194026077</v>
      </c>
    </row>
    <row r="902" spans="1:10" x14ac:dyDescent="0.45">
      <c r="A902">
        <v>-1.0464873412274756E-3</v>
      </c>
      <c r="B902">
        <f t="shared" si="77"/>
        <v>1.0951357553493508E-6</v>
      </c>
      <c r="F902">
        <f t="shared" si="75"/>
        <v>9.7008178388703823E-5</v>
      </c>
      <c r="G902" s="1">
        <f t="shared" si="76"/>
        <v>9.849272987825234E-3</v>
      </c>
      <c r="H902" s="1">
        <f t="shared" si="72"/>
        <v>1.620205406497251E-2</v>
      </c>
      <c r="I902">
        <f t="shared" si="73"/>
        <v>16202.05406497251</v>
      </c>
      <c r="J902">
        <f t="shared" si="74"/>
        <v>36228.894264405331</v>
      </c>
    </row>
    <row r="903" spans="1:10" x14ac:dyDescent="0.45">
      <c r="A903">
        <v>1.4736770026502199E-2</v>
      </c>
      <c r="B903">
        <f t="shared" si="77"/>
        <v>2.1717239081401362E-4</v>
      </c>
      <c r="F903">
        <f t="shared" si="75"/>
        <v>9.4129663881767559E-5</v>
      </c>
      <c r="G903" s="1">
        <f t="shared" si="76"/>
        <v>9.7020443145642028E-3</v>
      </c>
      <c r="H903" s="1">
        <f t="shared" si="72"/>
        <v>1.5959862897458113E-2</v>
      </c>
      <c r="I903">
        <f t="shared" si="73"/>
        <v>15959.862897458113</v>
      </c>
      <c r="J903">
        <f t="shared" si="74"/>
        <v>35687.338350293096</v>
      </c>
    </row>
    <row r="904" spans="1:10" x14ac:dyDescent="0.45">
      <c r="A904">
        <v>9.2003347162972204E-3</v>
      </c>
      <c r="B904">
        <f t="shared" si="77"/>
        <v>8.4646158891903855E-5</v>
      </c>
      <c r="F904">
        <f t="shared" si="75"/>
        <v>9.7797367401107393E-5</v>
      </c>
      <c r="G904" s="1">
        <f t="shared" si="76"/>
        <v>9.8892551489537066E-3</v>
      </c>
      <c r="H904" s="1">
        <f t="shared" si="72"/>
        <v>1.6267824720028849E-2</v>
      </c>
      <c r="I904">
        <f t="shared" si="73"/>
        <v>16267.82472002885</v>
      </c>
      <c r="J904">
        <f t="shared" si="74"/>
        <v>36375.961920035996</v>
      </c>
    </row>
    <row r="905" spans="1:10" x14ac:dyDescent="0.45">
      <c r="A905">
        <v>-1.7006868802127428E-3</v>
      </c>
      <c r="B905">
        <f t="shared" si="77"/>
        <v>2.8923358645277522E-6</v>
      </c>
      <c r="F905">
        <f t="shared" si="75"/>
        <v>9.7395839567798135E-5</v>
      </c>
      <c r="G905" s="1">
        <f t="shared" si="76"/>
        <v>9.8689330511356772E-3</v>
      </c>
      <c r="H905" s="1">
        <f t="shared" si="72"/>
        <v>1.623439486911819E-2</v>
      </c>
      <c r="I905">
        <f t="shared" si="73"/>
        <v>16234.39486911819</v>
      </c>
      <c r="J905">
        <f t="shared" si="74"/>
        <v>36301.210500922076</v>
      </c>
    </row>
    <row r="906" spans="1:10" x14ac:dyDescent="0.45">
      <c r="A906">
        <v>3.4049776331812609E-3</v>
      </c>
      <c r="B906">
        <f t="shared" si="77"/>
        <v>1.1593872682464662E-5</v>
      </c>
      <c r="F906">
        <f t="shared" si="75"/>
        <v>9.4558154562347457E-5</v>
      </c>
      <c r="G906" s="1">
        <f t="shared" si="76"/>
        <v>9.7241017354996583E-3</v>
      </c>
      <c r="H906" s="1">
        <f t="shared" si="72"/>
        <v>1.5996147354896937E-2</v>
      </c>
      <c r="I906">
        <f t="shared" si="73"/>
        <v>15996.147354896937</v>
      </c>
      <c r="J906">
        <f t="shared" si="74"/>
        <v>35768.472863653005</v>
      </c>
    </row>
    <row r="907" spans="1:10" x14ac:dyDescent="0.45">
      <c r="A907">
        <v>6.7783048507408239E-3</v>
      </c>
      <c r="B907">
        <f t="shared" si="77"/>
        <v>4.5945416649576583E-5</v>
      </c>
      <c r="F907">
        <f t="shared" si="75"/>
        <v>9.2064249086374497E-5</v>
      </c>
      <c r="G907" s="1">
        <f t="shared" si="76"/>
        <v>9.5950116772401325E-3</v>
      </c>
      <c r="H907" s="1">
        <f t="shared" si="72"/>
        <v>1.578379420906002E-2</v>
      </c>
      <c r="I907">
        <f t="shared" si="73"/>
        <v>15783.794209060019</v>
      </c>
      <c r="J907">
        <f t="shared" si="74"/>
        <v>35293.636794325728</v>
      </c>
    </row>
    <row r="908" spans="1:10" x14ac:dyDescent="0.45">
      <c r="A908">
        <v>-6.2477170104102697E-3</v>
      </c>
      <c r="B908">
        <f t="shared" si="77"/>
        <v>3.9033967842169835E-5</v>
      </c>
      <c r="F908">
        <f t="shared" si="75"/>
        <v>9.0678532603166676E-5</v>
      </c>
      <c r="G908" s="1">
        <f t="shared" si="76"/>
        <v>9.5225276373012788E-3</v>
      </c>
      <c r="H908" s="1">
        <f t="shared" si="72"/>
        <v>1.5664557963360602E-2</v>
      </c>
      <c r="I908">
        <f t="shared" si="73"/>
        <v>15664.557963360603</v>
      </c>
      <c r="J908">
        <f t="shared" si="74"/>
        <v>35027.016443559973</v>
      </c>
    </row>
    <row r="909" spans="1:10" x14ac:dyDescent="0.45">
      <c r="A909">
        <v>7.3696355684660375E-4</v>
      </c>
      <c r="B909">
        <f t="shared" si="77"/>
        <v>5.4311528411999736E-7</v>
      </c>
      <c r="F909">
        <f t="shared" si="75"/>
        <v>8.8923873418326503E-5</v>
      </c>
      <c r="G909" s="1">
        <f t="shared" si="76"/>
        <v>9.4299455681528983E-3</v>
      </c>
      <c r="H909" s="1">
        <f t="shared" si="72"/>
        <v>1.5512260459611517E-2</v>
      </c>
      <c r="I909">
        <f t="shared" si="73"/>
        <v>15512.260459611518</v>
      </c>
      <c r="J909">
        <f t="shared" si="74"/>
        <v>34686.468872373487</v>
      </c>
    </row>
    <row r="910" spans="1:10" x14ac:dyDescent="0.45">
      <c r="A910">
        <v>1.8608034224598669E-3</v>
      </c>
      <c r="B910">
        <f t="shared" si="77"/>
        <v>3.4625893770383537E-6</v>
      </c>
      <c r="F910">
        <f t="shared" si="75"/>
        <v>8.6245763090646944E-5</v>
      </c>
      <c r="G910" s="1">
        <f t="shared" si="76"/>
        <v>9.2868597001702861E-3</v>
      </c>
      <c r="H910" s="1">
        <f t="shared" si="72"/>
        <v>1.527688420678012E-2</v>
      </c>
      <c r="I910">
        <f t="shared" si="73"/>
        <v>15276.88420678012</v>
      </c>
      <c r="J910">
        <f t="shared" si="74"/>
        <v>34160.151570753304</v>
      </c>
    </row>
    <row r="911" spans="1:10" x14ac:dyDescent="0.45">
      <c r="A911">
        <v>4.1136217987514101E-3</v>
      </c>
      <c r="B911">
        <f t="shared" si="77"/>
        <v>1.6921884303162786E-5</v>
      </c>
      <c r="F911">
        <f t="shared" si="75"/>
        <v>8.3751243240996401E-5</v>
      </c>
      <c r="G911" s="1">
        <f t="shared" si="76"/>
        <v>9.1515705341212554E-3</v>
      </c>
      <c r="H911" s="1">
        <f t="shared" si="72"/>
        <v>1.5054333528629464E-2</v>
      </c>
      <c r="I911">
        <f t="shared" si="73"/>
        <v>15054.333528629464</v>
      </c>
      <c r="J911">
        <f t="shared" si="74"/>
        <v>33662.513125969759</v>
      </c>
    </row>
    <row r="912" spans="1:10" x14ac:dyDescent="0.45">
      <c r="A912">
        <v>-1.4156944416754413E-2</v>
      </c>
      <c r="B912">
        <f t="shared" si="77"/>
        <v>2.0041907521907396E-4</v>
      </c>
      <c r="F912">
        <f t="shared" si="75"/>
        <v>8.174610168778089E-5</v>
      </c>
      <c r="G912" s="1">
        <f t="shared" si="76"/>
        <v>9.0413550802841986E-3</v>
      </c>
      <c r="H912" s="1">
        <f t="shared" si="72"/>
        <v>1.4873029107067507E-2</v>
      </c>
      <c r="I912">
        <f t="shared" si="73"/>
        <v>14873.029107067507</v>
      </c>
      <c r="J912">
        <f t="shared" si="74"/>
        <v>33257.104114735943</v>
      </c>
    </row>
    <row r="913" spans="1:10" x14ac:dyDescent="0.45">
      <c r="A913">
        <v>-5.4559450290980749E-3</v>
      </c>
      <c r="B913">
        <f t="shared" si="77"/>
        <v>2.9767336160539995E-5</v>
      </c>
      <c r="F913">
        <f t="shared" si="75"/>
        <v>8.5304963728483188E-5</v>
      </c>
      <c r="G913" s="1">
        <f t="shared" si="76"/>
        <v>9.2360686294810073E-3</v>
      </c>
      <c r="H913" s="1">
        <f t="shared" si="72"/>
        <v>1.5193332895496257E-2</v>
      </c>
      <c r="I913">
        <f t="shared" si="73"/>
        <v>15193.332895496258</v>
      </c>
      <c r="J913">
        <f t="shared" si="74"/>
        <v>33973.325159113345</v>
      </c>
    </row>
    <row r="914" spans="1:10" x14ac:dyDescent="0.45">
      <c r="A914">
        <v>-7.0916030381340533E-3</v>
      </c>
      <c r="B914">
        <f t="shared" si="77"/>
        <v>5.0290833650472135E-5</v>
      </c>
      <c r="F914">
        <f t="shared" si="75"/>
        <v>8.3614116665236488E-5</v>
      </c>
      <c r="G914" s="1">
        <f t="shared" si="76"/>
        <v>9.144075495381503E-3</v>
      </c>
      <c r="H914" s="1">
        <f t="shared" si="72"/>
        <v>1.5042004189902572E-2</v>
      </c>
      <c r="I914">
        <f t="shared" si="73"/>
        <v>15042.004189902573</v>
      </c>
      <c r="J914">
        <f t="shared" si="74"/>
        <v>33634.943886458808</v>
      </c>
    </row>
    <row r="915" spans="1:10" x14ac:dyDescent="0.45">
      <c r="A915">
        <v>-1.1359225027263165E-2</v>
      </c>
      <c r="B915">
        <f t="shared" si="77"/>
        <v>1.2903199322000184E-4</v>
      </c>
      <c r="F915">
        <f t="shared" si="75"/>
        <v>8.256538368582994E-5</v>
      </c>
      <c r="G915" s="1">
        <f t="shared" si="76"/>
        <v>9.0865496028927246E-3</v>
      </c>
      <c r="H915" s="1">
        <f t="shared" si="72"/>
        <v>1.4947374096758533E-2</v>
      </c>
      <c r="I915">
        <f t="shared" si="73"/>
        <v>14947.374096758533</v>
      </c>
      <c r="J915">
        <f t="shared" si="74"/>
        <v>33423.344565471598</v>
      </c>
    </row>
    <row r="916" spans="1:10" x14ac:dyDescent="0.45">
      <c r="A916">
        <v>-5.5333430282189511E-3</v>
      </c>
      <c r="B916">
        <f t="shared" si="77"/>
        <v>3.0617885067939269E-5</v>
      </c>
      <c r="F916">
        <f t="shared" si="75"/>
        <v>8.3959302037612586E-5</v>
      </c>
      <c r="G916" s="1">
        <f t="shared" si="76"/>
        <v>9.1629308650459963E-3</v>
      </c>
      <c r="H916" s="1">
        <f t="shared" si="72"/>
        <v>1.5073021273000664E-2</v>
      </c>
      <c r="I916">
        <f t="shared" si="73"/>
        <v>15073.021273000664</v>
      </c>
      <c r="J916">
        <f t="shared" si="74"/>
        <v>33704.300192729905</v>
      </c>
    </row>
    <row r="917" spans="1:10" x14ac:dyDescent="0.45">
      <c r="A917">
        <v>7.6681772043230012E-3</v>
      </c>
      <c r="B917">
        <f t="shared" si="77"/>
        <v>5.880094163689892E-5</v>
      </c>
      <c r="F917">
        <f t="shared" si="75"/>
        <v>8.2357677342358144E-5</v>
      </c>
      <c r="G917" s="1">
        <f t="shared" si="76"/>
        <v>9.075113076009474E-3</v>
      </c>
      <c r="H917" s="1">
        <f t="shared" si="72"/>
        <v>1.4928561010035585E-2</v>
      </c>
      <c r="I917">
        <f t="shared" si="73"/>
        <v>14928.561010035584</v>
      </c>
      <c r="J917">
        <f t="shared" si="74"/>
        <v>33381.277224692487</v>
      </c>
    </row>
    <row r="918" spans="1:10" x14ac:dyDescent="0.45">
      <c r="A918">
        <v>2.1611867850879207E-4</v>
      </c>
      <c r="B918">
        <f t="shared" si="77"/>
        <v>4.6707283200386624E-8</v>
      </c>
      <c r="F918">
        <f t="shared" si="75"/>
        <v>8.1638289680189565E-5</v>
      </c>
      <c r="G918" s="1">
        <f t="shared" si="76"/>
        <v>9.0353909533671846E-3</v>
      </c>
      <c r="H918" s="1">
        <f t="shared" si="72"/>
        <v>1.4863218118289018E-2</v>
      </c>
      <c r="I918">
        <f t="shared" si="73"/>
        <v>14863.218118289018</v>
      </c>
      <c r="J918">
        <f t="shared" si="74"/>
        <v>33235.166076900758</v>
      </c>
    </row>
    <row r="919" spans="1:10" x14ac:dyDescent="0.45">
      <c r="A919">
        <v>1.1546399036888033E-2</v>
      </c>
      <c r="B919">
        <f t="shared" si="77"/>
        <v>1.333193307190489E-4</v>
      </c>
      <c r="F919">
        <f t="shared" si="75"/>
        <v>7.9186625727020271E-5</v>
      </c>
      <c r="G919" s="1">
        <f t="shared" si="76"/>
        <v>8.8986867417063433E-3</v>
      </c>
      <c r="H919" s="1">
        <f t="shared" si="72"/>
        <v>1.4638339690106935E-2</v>
      </c>
      <c r="I919">
        <f t="shared" si="73"/>
        <v>14638.339690106935</v>
      </c>
      <c r="J919">
        <f t="shared" si="74"/>
        <v>32732.322624812314</v>
      </c>
    </row>
    <row r="920" spans="1:10" x14ac:dyDescent="0.45">
      <c r="A920">
        <v>-9.6135181593126617E-3</v>
      </c>
      <c r="B920">
        <f t="shared" si="77"/>
        <v>9.2419731399434314E-5</v>
      </c>
      <c r="F920">
        <f t="shared" si="75"/>
        <v>8.0804804942842843E-5</v>
      </c>
      <c r="G920" s="1">
        <f t="shared" si="76"/>
        <v>8.9891492891620642E-3</v>
      </c>
      <c r="H920" s="1">
        <f t="shared" si="72"/>
        <v>1.4787150580671597E-2</v>
      </c>
      <c r="I920">
        <f t="shared" si="73"/>
        <v>14787.150580671596</v>
      </c>
      <c r="J920">
        <f t="shared" si="74"/>
        <v>33065.073891907181</v>
      </c>
    </row>
    <row r="921" spans="1:10" x14ac:dyDescent="0.45">
      <c r="A921">
        <v>-2.3929487724672072E-3</v>
      </c>
      <c r="B921">
        <f t="shared" si="77"/>
        <v>5.7262038276523135E-6</v>
      </c>
      <c r="F921">
        <f t="shared" si="75"/>
        <v>8.1151325821551376E-5</v>
      </c>
      <c r="G921" s="1">
        <f t="shared" si="76"/>
        <v>9.0084030672229233E-3</v>
      </c>
      <c r="H921" s="1">
        <f t="shared" si="72"/>
        <v>1.4818823045581709E-2</v>
      </c>
      <c r="I921">
        <f t="shared" si="73"/>
        <v>14818.823045581708</v>
      </c>
      <c r="J921">
        <f t="shared" si="74"/>
        <v>33135.895676461165</v>
      </c>
    </row>
    <row r="922" spans="1:10" x14ac:dyDescent="0.45">
      <c r="A922">
        <v>1.7740694602252916E-2</v>
      </c>
      <c r="B922">
        <f t="shared" si="77"/>
        <v>3.1473224497040574E-4</v>
      </c>
      <c r="F922">
        <f t="shared" si="75"/>
        <v>7.8871107217836969E-5</v>
      </c>
      <c r="G922" s="1">
        <f t="shared" si="76"/>
        <v>8.8809406719016527E-3</v>
      </c>
      <c r="H922" s="1">
        <f t="shared" ref="H922:H985" si="78">G922*$H$1</f>
        <v>1.4609147405278218E-2</v>
      </c>
      <c r="I922">
        <f t="shared" ref="I922:I985" si="79">H922*$K$1</f>
        <v>14609.147405278218</v>
      </c>
      <c r="J922">
        <f t="shared" ref="J922:J985" si="80">I922*SQRT($K$2)</f>
        <v>32667.046691516767</v>
      </c>
    </row>
    <row r="923" spans="1:10" x14ac:dyDescent="0.45">
      <c r="A923">
        <v>-1.0150802154385019E-2</v>
      </c>
      <c r="B923">
        <f t="shared" si="77"/>
        <v>1.0303878437746754E-4</v>
      </c>
      <c r="F923">
        <f t="shared" ref="F923:F986" si="81">(1-$E$1)*SUMPRODUCT($E$2:$E$152,B772:B922)</f>
        <v>8.5924484741707304E-5</v>
      </c>
      <c r="G923" s="1">
        <f t="shared" ref="G923:G986" si="82">SQRT(F923)</f>
        <v>9.2695460914603203E-3</v>
      </c>
      <c r="H923" s="1">
        <f t="shared" si="78"/>
        <v>1.5248403320452226E-2</v>
      </c>
      <c r="I923">
        <f t="shared" si="79"/>
        <v>15248.403320452226</v>
      </c>
      <c r="J923">
        <f t="shared" si="80"/>
        <v>34096.466372864685</v>
      </c>
    </row>
    <row r="924" spans="1:10" x14ac:dyDescent="0.45">
      <c r="A924">
        <v>-3.6766323319170624E-4</v>
      </c>
      <c r="B924">
        <f t="shared" si="77"/>
        <v>1.3517625304097896E-7</v>
      </c>
      <c r="F924">
        <f t="shared" si="81"/>
        <v>8.6391969527048631E-5</v>
      </c>
      <c r="G924" s="1">
        <f t="shared" si="82"/>
        <v>9.294728050193218E-3</v>
      </c>
      <c r="H924" s="1">
        <f t="shared" si="78"/>
        <v>1.5289827642567843E-2</v>
      </c>
      <c r="I924">
        <f t="shared" si="79"/>
        <v>15289.827642567843</v>
      </c>
      <c r="J924">
        <f t="shared" si="80"/>
        <v>34189.093973037059</v>
      </c>
    </row>
    <row r="925" spans="1:10" x14ac:dyDescent="0.45">
      <c r="A925">
        <v>7.4938157013093587E-3</v>
      </c>
      <c r="B925">
        <f t="shared" si="77"/>
        <v>5.6157273765190677E-5</v>
      </c>
      <c r="F925">
        <f t="shared" si="81"/>
        <v>8.3736305382919974E-5</v>
      </c>
      <c r="G925" s="1">
        <f t="shared" si="82"/>
        <v>9.1507543614130511E-3</v>
      </c>
      <c r="H925" s="1">
        <f t="shared" si="78"/>
        <v>1.505299092452447E-2</v>
      </c>
      <c r="I925">
        <f t="shared" si="79"/>
        <v>15052.990924524469</v>
      </c>
      <c r="J925">
        <f t="shared" si="80"/>
        <v>33659.510971924123</v>
      </c>
    </row>
    <row r="926" spans="1:10" x14ac:dyDescent="0.45">
      <c r="A926">
        <v>1.2937448445882183E-3</v>
      </c>
      <c r="B926">
        <f t="shared" si="77"/>
        <v>1.6737757228985931E-6</v>
      </c>
      <c r="F926">
        <f t="shared" si="81"/>
        <v>8.2863642832188097E-5</v>
      </c>
      <c r="G926" s="1">
        <f t="shared" si="82"/>
        <v>9.102946931196957E-3</v>
      </c>
      <c r="H926" s="1">
        <f t="shared" si="78"/>
        <v>1.4974347701818994E-2</v>
      </c>
      <c r="I926">
        <f t="shared" si="79"/>
        <v>14974.347701818995</v>
      </c>
      <c r="J926">
        <f t="shared" si="80"/>
        <v>33483.659379985023</v>
      </c>
    </row>
    <row r="927" spans="1:10" x14ac:dyDescent="0.45">
      <c r="A927">
        <v>-3.6631035982281901E-3</v>
      </c>
      <c r="B927">
        <f t="shared" si="77"/>
        <v>1.3418327971352314E-5</v>
      </c>
      <c r="F927">
        <f t="shared" si="81"/>
        <v>8.0426831730375564E-5</v>
      </c>
      <c r="G927" s="1">
        <f t="shared" si="82"/>
        <v>8.9681007872556579E-3</v>
      </c>
      <c r="H927" s="1">
        <f t="shared" si="78"/>
        <v>1.4752525795035557E-2</v>
      </c>
      <c r="I927">
        <f t="shared" si="79"/>
        <v>14752.525795035557</v>
      </c>
      <c r="J927">
        <f t="shared" si="80"/>
        <v>32987.650517518639</v>
      </c>
    </row>
    <row r="928" spans="1:10" x14ac:dyDescent="0.45">
      <c r="A928">
        <v>9.1980155048076995E-3</v>
      </c>
      <c r="B928">
        <f t="shared" si="77"/>
        <v>8.4603489226682836E-5</v>
      </c>
      <c r="F928">
        <f t="shared" si="81"/>
        <v>7.8387140594583793E-5</v>
      </c>
      <c r="G928" s="1">
        <f t="shared" si="82"/>
        <v>8.8536512577909801E-3</v>
      </c>
      <c r="H928" s="1">
        <f t="shared" si="78"/>
        <v>1.4564256319066162E-2</v>
      </c>
      <c r="I928">
        <f t="shared" si="79"/>
        <v>14564.256319066162</v>
      </c>
      <c r="J928">
        <f t="shared" si="80"/>
        <v>32566.667171162808</v>
      </c>
    </row>
    <row r="929" spans="1:10" x14ac:dyDescent="0.45">
      <c r="A929">
        <v>-3.0704086384503171E-3</v>
      </c>
      <c r="B929">
        <f t="shared" si="77"/>
        <v>9.4274092070703298E-6</v>
      </c>
      <c r="F929">
        <f t="shared" si="81"/>
        <v>7.857084097029373E-5</v>
      </c>
      <c r="G929" s="1">
        <f t="shared" si="82"/>
        <v>8.8640194590430439E-3</v>
      </c>
      <c r="H929" s="1">
        <f t="shared" si="78"/>
        <v>1.4581312010125807E-2</v>
      </c>
      <c r="I929">
        <f t="shared" si="79"/>
        <v>14581.312010125806</v>
      </c>
      <c r="J929">
        <f t="shared" si="80"/>
        <v>32604.804855775408</v>
      </c>
    </row>
    <row r="930" spans="1:10" x14ac:dyDescent="0.45">
      <c r="A930">
        <v>1.85145836439915E-3</v>
      </c>
      <c r="B930">
        <f t="shared" si="77"/>
        <v>3.4278980751035758E-6</v>
      </c>
      <c r="F930">
        <f t="shared" si="81"/>
        <v>7.6495644396895821E-5</v>
      </c>
      <c r="G930" s="1">
        <f t="shared" si="82"/>
        <v>8.7461788454670768E-3</v>
      </c>
      <c r="H930" s="1">
        <f t="shared" si="78"/>
        <v>1.4387464200793341E-2</v>
      </c>
      <c r="I930">
        <f t="shared" si="79"/>
        <v>14387.464200793342</v>
      </c>
      <c r="J930">
        <f t="shared" si="80"/>
        <v>32171.347976818597</v>
      </c>
    </row>
    <row r="931" spans="1:10" x14ac:dyDescent="0.45">
      <c r="A931">
        <v>5.9583271649898961E-3</v>
      </c>
      <c r="B931">
        <f t="shared" si="77"/>
        <v>3.5501662605056534E-5</v>
      </c>
      <c r="F931">
        <f t="shared" si="81"/>
        <v>7.4303215333074E-5</v>
      </c>
      <c r="G931" s="1">
        <f t="shared" si="82"/>
        <v>8.6199312835471033E-3</v>
      </c>
      <c r="H931" s="1">
        <f t="shared" si="78"/>
        <v>1.4179786961434985E-2</v>
      </c>
      <c r="I931">
        <f t="shared" si="79"/>
        <v>14179.786961434986</v>
      </c>
      <c r="J931">
        <f t="shared" si="80"/>
        <v>31706.967552233818</v>
      </c>
    </row>
    <row r="932" spans="1:10" x14ac:dyDescent="0.45">
      <c r="A932">
        <v>1.3693806977244094E-3</v>
      </c>
      <c r="B932">
        <f t="shared" si="77"/>
        <v>1.8752034953001903E-6</v>
      </c>
      <c r="F932">
        <f t="shared" si="81"/>
        <v>7.3127887504739601E-5</v>
      </c>
      <c r="G932" s="1">
        <f t="shared" si="82"/>
        <v>8.551484520522715E-3</v>
      </c>
      <c r="H932" s="1">
        <f t="shared" si="78"/>
        <v>1.4067192036259866E-2</v>
      </c>
      <c r="I932">
        <f t="shared" si="79"/>
        <v>14067.192036259867</v>
      </c>
      <c r="J932">
        <f t="shared" si="80"/>
        <v>31455.197645620749</v>
      </c>
    </row>
    <row r="933" spans="1:10" x14ac:dyDescent="0.45">
      <c r="A933">
        <v>-6.1374521465040743E-3</v>
      </c>
      <c r="B933">
        <f t="shared" si="77"/>
        <v>3.7668318850627466E-5</v>
      </c>
      <c r="F933">
        <f t="shared" si="81"/>
        <v>7.0970801332881581E-5</v>
      </c>
      <c r="G933" s="1">
        <f t="shared" si="82"/>
        <v>8.4244169728760216E-3</v>
      </c>
      <c r="H933" s="1">
        <f t="shared" si="78"/>
        <v>1.3858165920381057E-2</v>
      </c>
      <c r="I933">
        <f t="shared" si="79"/>
        <v>13858.165920381056</v>
      </c>
      <c r="J933">
        <f t="shared" si="80"/>
        <v>30987.801041442981</v>
      </c>
    </row>
    <row r="934" spans="1:10" x14ac:dyDescent="0.45">
      <c r="A934">
        <v>1.0136727723875083E-2</v>
      </c>
      <c r="B934">
        <f t="shared" si="77"/>
        <v>1.0275324894797772E-4</v>
      </c>
      <c r="F934">
        <f t="shared" si="81"/>
        <v>6.9966447366866277E-5</v>
      </c>
      <c r="G934" s="1">
        <f t="shared" si="82"/>
        <v>8.3645948716519602E-3</v>
      </c>
      <c r="H934" s="1">
        <f t="shared" si="78"/>
        <v>1.3759758563867474E-2</v>
      </c>
      <c r="I934">
        <f t="shared" si="79"/>
        <v>13759.758563867474</v>
      </c>
      <c r="J934">
        <f t="shared" si="80"/>
        <v>30767.755502792555</v>
      </c>
    </row>
    <row r="935" spans="1:10" x14ac:dyDescent="0.45">
      <c r="A935">
        <v>-1.3608882909466047E-3</v>
      </c>
      <c r="B935">
        <f t="shared" si="77"/>
        <v>1.8520169404355707E-6</v>
      </c>
      <c r="F935">
        <f t="shared" si="81"/>
        <v>7.0938962983939718E-5</v>
      </c>
      <c r="G935" s="1">
        <f t="shared" si="82"/>
        <v>8.4225271138738227E-3</v>
      </c>
      <c r="H935" s="1">
        <f t="shared" si="78"/>
        <v>1.3855057102322439E-2</v>
      </c>
      <c r="I935">
        <f t="shared" si="79"/>
        <v>13855.057102322438</v>
      </c>
      <c r="J935">
        <f t="shared" si="80"/>
        <v>30980.849512934234</v>
      </c>
    </row>
    <row r="936" spans="1:10" x14ac:dyDescent="0.45">
      <c r="A936">
        <v>5.2669292927021161E-3</v>
      </c>
      <c r="B936">
        <f t="shared" si="77"/>
        <v>2.7740544174323612E-5</v>
      </c>
      <c r="F936">
        <f t="shared" si="81"/>
        <v>6.8794782401243896E-5</v>
      </c>
      <c r="G936" s="1">
        <f t="shared" si="82"/>
        <v>8.2942620166741709E-3</v>
      </c>
      <c r="H936" s="1">
        <f t="shared" si="78"/>
        <v>1.3644061017429012E-2</v>
      </c>
      <c r="I936">
        <f t="shared" si="79"/>
        <v>13644.061017429012</v>
      </c>
      <c r="J936">
        <f t="shared" si="80"/>
        <v>30509.047924126215</v>
      </c>
    </row>
    <row r="937" spans="1:10" x14ac:dyDescent="0.45">
      <c r="A937">
        <v>-1.0363100955146365E-2</v>
      </c>
      <c r="B937">
        <f t="shared" si="77"/>
        <v>1.0739386140655549E-4</v>
      </c>
      <c r="F937">
        <f t="shared" si="81"/>
        <v>6.7544584605938829E-5</v>
      </c>
      <c r="G937" s="1">
        <f t="shared" si="82"/>
        <v>8.2185512473877554E-3</v>
      </c>
      <c r="H937" s="1">
        <f t="shared" si="78"/>
        <v>1.3519516801952857E-2</v>
      </c>
      <c r="I937">
        <f t="shared" si="79"/>
        <v>13519.516801952857</v>
      </c>
      <c r="J937">
        <f t="shared" si="80"/>
        <v>30230.558592117151</v>
      </c>
    </row>
    <row r="938" spans="1:10" x14ac:dyDescent="0.45">
      <c r="A938">
        <v>-2.5514736989862286E-4</v>
      </c>
      <c r="B938">
        <f t="shared" si="77"/>
        <v>6.5100180366184676E-8</v>
      </c>
      <c r="F938">
        <f t="shared" si="81"/>
        <v>6.873983906184635E-5</v>
      </c>
      <c r="G938" s="1">
        <f t="shared" si="82"/>
        <v>8.2909492256222593E-3</v>
      </c>
      <c r="H938" s="1">
        <f t="shared" si="78"/>
        <v>1.3638611476148617E-2</v>
      </c>
      <c r="I938">
        <f t="shared" si="79"/>
        <v>13638.611476148617</v>
      </c>
      <c r="J938">
        <f t="shared" si="80"/>
        <v>30496.86237937706</v>
      </c>
    </row>
    <row r="939" spans="1:10" x14ac:dyDescent="0.45">
      <c r="A939">
        <v>1.3992166714160703E-2</v>
      </c>
      <c r="B939">
        <f t="shared" si="77"/>
        <v>1.9578072935686673E-4</v>
      </c>
      <c r="F939">
        <f t="shared" si="81"/>
        <v>6.655021750787291E-5</v>
      </c>
      <c r="G939" s="1">
        <f t="shared" si="82"/>
        <v>8.1578316670468821E-3</v>
      </c>
      <c r="H939" s="1">
        <f t="shared" si="78"/>
        <v>1.341963309229212E-2</v>
      </c>
      <c r="I939">
        <f t="shared" si="79"/>
        <v>13419.633092292121</v>
      </c>
      <c r="J939">
        <f t="shared" si="80"/>
        <v>30007.211827470892</v>
      </c>
    </row>
    <row r="940" spans="1:10" x14ac:dyDescent="0.45">
      <c r="A940">
        <v>-6.6900156525662169E-3</v>
      </c>
      <c r="B940">
        <f t="shared" si="77"/>
        <v>4.4756309431580988E-5</v>
      </c>
      <c r="F940">
        <f t="shared" si="81"/>
        <v>7.0418488270056822E-5</v>
      </c>
      <c r="G940" s="1">
        <f t="shared" si="82"/>
        <v>8.3915724551514668E-3</v>
      </c>
      <c r="H940" s="1">
        <f t="shared" si="78"/>
        <v>1.3804136688724163E-2</v>
      </c>
      <c r="I940">
        <f t="shared" si="79"/>
        <v>13804.136688724162</v>
      </c>
      <c r="J940">
        <f t="shared" si="80"/>
        <v>30866.988006686082</v>
      </c>
    </row>
    <row r="941" spans="1:10" x14ac:dyDescent="0.45">
      <c r="A941">
        <v>2.472206688253209E-2</v>
      </c>
      <c r="B941">
        <f t="shared" si="77"/>
        <v>6.111805909443899E-4</v>
      </c>
      <c r="F941">
        <f t="shared" si="81"/>
        <v>6.9574360547559346E-5</v>
      </c>
      <c r="G941" s="1">
        <f t="shared" si="82"/>
        <v>8.3411246572365379E-3</v>
      </c>
      <c r="H941" s="1">
        <f t="shared" si="78"/>
        <v>1.3721150061154106E-2</v>
      </c>
      <c r="I941">
        <f t="shared" si="79"/>
        <v>13721.150061154105</v>
      </c>
      <c r="J941">
        <f t="shared" si="80"/>
        <v>30681.424266215978</v>
      </c>
    </row>
    <row r="942" spans="1:10" x14ac:dyDescent="0.45">
      <c r="A942">
        <v>-6.8313397605379578E-3</v>
      </c>
      <c r="B942">
        <f t="shared" si="77"/>
        <v>4.6667202923906803E-5</v>
      </c>
      <c r="F942">
        <f t="shared" si="81"/>
        <v>8.5802470947668588E-5</v>
      </c>
      <c r="G942" s="1">
        <f t="shared" si="82"/>
        <v>9.262962320320027E-3</v>
      </c>
      <c r="H942" s="1">
        <f t="shared" si="78"/>
        <v>1.5237573016926445E-2</v>
      </c>
      <c r="I942">
        <f t="shared" si="79"/>
        <v>15237.573016926446</v>
      </c>
      <c r="J942">
        <f t="shared" si="80"/>
        <v>34072.249077964087</v>
      </c>
    </row>
    <row r="943" spans="1:10" x14ac:dyDescent="0.45">
      <c r="A943">
        <v>-1.0257281246595085E-3</v>
      </c>
      <c r="B943">
        <f t="shared" si="77"/>
        <v>1.0521181857175121E-6</v>
      </c>
      <c r="F943">
        <f t="shared" si="81"/>
        <v>8.4626871508213685E-5</v>
      </c>
      <c r="G943" s="1">
        <f t="shared" si="82"/>
        <v>9.1992864673415674E-3</v>
      </c>
      <c r="H943" s="1">
        <f t="shared" si="78"/>
        <v>1.5132826238776879E-2</v>
      </c>
      <c r="I943">
        <f t="shared" si="79"/>
        <v>15132.826238776879</v>
      </c>
      <c r="J943">
        <f t="shared" si="80"/>
        <v>33838.028161597569</v>
      </c>
    </row>
    <row r="944" spans="1:10" x14ac:dyDescent="0.45">
      <c r="A944">
        <v>-9.431755643163342E-3</v>
      </c>
      <c r="B944">
        <f t="shared" si="77"/>
        <v>8.8958014512343554E-5</v>
      </c>
      <c r="F944">
        <f t="shared" si="81"/>
        <v>8.2119566032109968E-5</v>
      </c>
      <c r="G944" s="1">
        <f t="shared" si="82"/>
        <v>9.0619846629813924E-3</v>
      </c>
      <c r="H944" s="1">
        <f t="shared" si="78"/>
        <v>1.4906964770604391E-2</v>
      </c>
      <c r="I944">
        <f t="shared" si="79"/>
        <v>14906.964770604391</v>
      </c>
      <c r="J944">
        <f t="shared" si="80"/>
        <v>33332.986565265979</v>
      </c>
    </row>
    <row r="945" spans="1:10" x14ac:dyDescent="0.45">
      <c r="A945">
        <v>4.4278976929490454E-3</v>
      </c>
      <c r="B945">
        <f t="shared" si="77"/>
        <v>1.960627797922348E-5</v>
      </c>
      <c r="F945">
        <f t="shared" si="81"/>
        <v>8.2318185053344468E-5</v>
      </c>
      <c r="G945" s="1">
        <f t="shared" si="82"/>
        <v>9.0729369585236547E-3</v>
      </c>
      <c r="H945" s="1">
        <f t="shared" si="78"/>
        <v>1.4924981296771412E-2</v>
      </c>
      <c r="I945">
        <f t="shared" si="79"/>
        <v>14924.981296771412</v>
      </c>
      <c r="J945">
        <f t="shared" si="80"/>
        <v>33373.272742493842</v>
      </c>
    </row>
    <row r="946" spans="1:10" x14ac:dyDescent="0.45">
      <c r="A946">
        <v>5.1810047807521187E-3</v>
      </c>
      <c r="B946">
        <f t="shared" si="77"/>
        <v>2.6842810538176309E-5</v>
      </c>
      <c r="F946">
        <f t="shared" si="81"/>
        <v>8.0251915500775966E-5</v>
      </c>
      <c r="G946" s="1">
        <f t="shared" si="82"/>
        <v>8.9583433457741477E-3</v>
      </c>
      <c r="H946" s="1">
        <f t="shared" si="78"/>
        <v>1.4736474803798473E-2</v>
      </c>
      <c r="I946">
        <f t="shared" si="79"/>
        <v>14736.474803798474</v>
      </c>
      <c r="J946">
        <f t="shared" si="80"/>
        <v>32951.759410006263</v>
      </c>
    </row>
    <row r="947" spans="1:10" x14ac:dyDescent="0.45">
      <c r="A947">
        <v>-7.184371497714892E-3</v>
      </c>
      <c r="B947">
        <f t="shared" si="77"/>
        <v>5.161519381717812E-5</v>
      </c>
      <c r="F947">
        <f t="shared" si="81"/>
        <v>7.8648233741245959E-5</v>
      </c>
      <c r="G947" s="1">
        <f t="shared" si="82"/>
        <v>8.8683839419166979E-3</v>
      </c>
      <c r="H947" s="1">
        <f t="shared" si="78"/>
        <v>1.4588491584452969E-2</v>
      </c>
      <c r="I947">
        <f t="shared" si="79"/>
        <v>14588.49158445297</v>
      </c>
      <c r="J947">
        <f t="shared" si="80"/>
        <v>32620.858872020457</v>
      </c>
    </row>
    <row r="948" spans="1:10" x14ac:dyDescent="0.45">
      <c r="A948">
        <v>5.6918452173704281E-3</v>
      </c>
      <c r="B948">
        <f t="shared" si="77"/>
        <v>3.2397101978502616E-5</v>
      </c>
      <c r="F948">
        <f t="shared" si="81"/>
        <v>7.7830034381244845E-5</v>
      </c>
      <c r="G948" s="1">
        <f t="shared" si="82"/>
        <v>8.8221332103547868E-3</v>
      </c>
      <c r="H948" s="1">
        <f t="shared" si="78"/>
        <v>1.4512409131033624E-2</v>
      </c>
      <c r="I948">
        <f t="shared" si="79"/>
        <v>14512.409131033624</v>
      </c>
      <c r="J948">
        <f t="shared" si="80"/>
        <v>32450.733334279837</v>
      </c>
    </row>
    <row r="949" spans="1:10" x14ac:dyDescent="0.45">
      <c r="A949">
        <v>3.6508481571217999E-3</v>
      </c>
      <c r="B949">
        <f t="shared" si="77"/>
        <v>1.3328692266359642E-5</v>
      </c>
      <c r="F949">
        <f t="shared" si="81"/>
        <v>7.6426587485016164E-5</v>
      </c>
      <c r="G949" s="1">
        <f t="shared" si="82"/>
        <v>8.7422301207996222E-3</v>
      </c>
      <c r="H949" s="1">
        <f t="shared" si="78"/>
        <v>1.4380968548715378E-2</v>
      </c>
      <c r="I949">
        <f t="shared" si="79"/>
        <v>14380.968548715378</v>
      </c>
      <c r="J949">
        <f t="shared" si="80"/>
        <v>32156.823257214084</v>
      </c>
    </row>
    <row r="950" spans="1:10" x14ac:dyDescent="0.45">
      <c r="A950">
        <v>-4.5684032556891907E-3</v>
      </c>
      <c r="B950">
        <f t="shared" si="77"/>
        <v>2.0870308306591596E-5</v>
      </c>
      <c r="F950">
        <f t="shared" si="81"/>
        <v>7.4526888775229395E-5</v>
      </c>
      <c r="G950" s="1">
        <f t="shared" si="82"/>
        <v>8.6328957352228806E-3</v>
      </c>
      <c r="H950" s="1">
        <f t="shared" si="78"/>
        <v>1.4201113484441639E-2</v>
      </c>
      <c r="I950">
        <f t="shared" si="79"/>
        <v>14201.113484441639</v>
      </c>
      <c r="J950">
        <f t="shared" si="80"/>
        <v>31754.655107400409</v>
      </c>
    </row>
    <row r="951" spans="1:10" x14ac:dyDescent="0.45">
      <c r="A951">
        <v>5.9245621741865762E-3</v>
      </c>
      <c r="B951">
        <f t="shared" si="77"/>
        <v>3.5100436955802371E-5</v>
      </c>
      <c r="F951">
        <f t="shared" si="81"/>
        <v>7.2916838667227358E-5</v>
      </c>
      <c r="G951" s="1">
        <f t="shared" si="82"/>
        <v>8.539135709615309E-3</v>
      </c>
      <c r="H951" s="1">
        <f t="shared" si="78"/>
        <v>1.4046878242317184E-2</v>
      </c>
      <c r="I951">
        <f t="shared" si="79"/>
        <v>14046.878242317183</v>
      </c>
      <c r="J951">
        <f t="shared" si="80"/>
        <v>31409.774621483986</v>
      </c>
    </row>
    <row r="952" spans="1:10" x14ac:dyDescent="0.45">
      <c r="A952">
        <v>-8.4264684119261801E-3</v>
      </c>
      <c r="B952">
        <f t="shared" si="77"/>
        <v>7.1005369897189717E-5</v>
      </c>
      <c r="F952">
        <f t="shared" si="81"/>
        <v>7.1590644534692461E-5</v>
      </c>
      <c r="G952" s="1">
        <f t="shared" si="82"/>
        <v>8.4611254886505765E-3</v>
      </c>
      <c r="H952" s="1">
        <f t="shared" si="78"/>
        <v>1.3918551428830198E-2</v>
      </c>
      <c r="I952">
        <f t="shared" si="79"/>
        <v>13918.551428830198</v>
      </c>
      <c r="J952">
        <f t="shared" si="80"/>
        <v>31122.827143191153</v>
      </c>
    </row>
    <row r="953" spans="1:10" x14ac:dyDescent="0.45">
      <c r="A953">
        <v>-7.3687942858668976E-3</v>
      </c>
      <c r="B953">
        <f t="shared" si="77"/>
        <v>5.4299129227424642E-5</v>
      </c>
      <c r="F953">
        <f t="shared" si="81"/>
        <v>7.1525787844124131E-5</v>
      </c>
      <c r="G953" s="1">
        <f t="shared" si="82"/>
        <v>8.4572919923651766E-3</v>
      </c>
      <c r="H953" s="1">
        <f t="shared" si="78"/>
        <v>1.3912245327440715E-2</v>
      </c>
      <c r="I953">
        <f t="shared" si="79"/>
        <v>13912.245327440716</v>
      </c>
      <c r="J953">
        <f t="shared" si="80"/>
        <v>31108.726271811262</v>
      </c>
    </row>
    <row r="954" spans="1:10" x14ac:dyDescent="0.45">
      <c r="A954">
        <v>8.6089812612044625E-3</v>
      </c>
      <c r="B954">
        <f t="shared" si="77"/>
        <v>7.4114558355769581E-5</v>
      </c>
      <c r="F954">
        <f t="shared" si="81"/>
        <v>7.1004431943230369E-5</v>
      </c>
      <c r="G954" s="1">
        <f t="shared" si="82"/>
        <v>8.4264127565192512E-3</v>
      </c>
      <c r="H954" s="1">
        <f t="shared" si="78"/>
        <v>1.3861448984474169E-2</v>
      </c>
      <c r="I954">
        <f t="shared" si="79"/>
        <v>13861.448984474169</v>
      </c>
      <c r="J954">
        <f t="shared" si="80"/>
        <v>30995.142195929671</v>
      </c>
    </row>
    <row r="955" spans="1:10" x14ac:dyDescent="0.45">
      <c r="A955">
        <v>-1.6626700016786344E-3</v>
      </c>
      <c r="B955">
        <f t="shared" si="77"/>
        <v>2.7644715344820302E-6</v>
      </c>
      <c r="F955">
        <f t="shared" si="81"/>
        <v>7.1097631869489078E-5</v>
      </c>
      <c r="G955" s="1">
        <f t="shared" si="82"/>
        <v>8.4319411685263249E-3</v>
      </c>
      <c r="H955" s="1">
        <f t="shared" si="78"/>
        <v>1.3870543222225805E-2</v>
      </c>
      <c r="I955">
        <f t="shared" si="79"/>
        <v>13870.543222225804</v>
      </c>
      <c r="J955">
        <f t="shared" si="80"/>
        <v>31015.477529745873</v>
      </c>
    </row>
    <row r="956" spans="1:10" x14ac:dyDescent="0.45">
      <c r="A956">
        <v>1.4366332834470086E-2</v>
      </c>
      <c r="B956">
        <f t="shared" si="77"/>
        <v>2.063915191107733E-4</v>
      </c>
      <c r="F956">
        <f t="shared" si="81"/>
        <v>6.9033949189882944E-5</v>
      </c>
      <c r="G956" s="1">
        <f t="shared" si="82"/>
        <v>8.3086671127132628E-3</v>
      </c>
      <c r="H956" s="1">
        <f t="shared" si="78"/>
        <v>1.3667757400413318E-2</v>
      </c>
      <c r="I956">
        <f t="shared" si="79"/>
        <v>13667.757400413318</v>
      </c>
      <c r="J956">
        <f t="shared" si="80"/>
        <v>30562.034647299995</v>
      </c>
    </row>
    <row r="957" spans="1:10" x14ac:dyDescent="0.45">
      <c r="A957">
        <v>4.518824425758794E-4</v>
      </c>
      <c r="B957">
        <f t="shared" si="77"/>
        <v>2.0419774190834294E-7</v>
      </c>
      <c r="F957">
        <f t="shared" si="81"/>
        <v>7.3139348735002416E-5</v>
      </c>
      <c r="G957" s="1">
        <f t="shared" si="82"/>
        <v>8.552154625297792E-3</v>
      </c>
      <c r="H957" s="1">
        <f t="shared" si="78"/>
        <v>1.4068294358614867E-2</v>
      </c>
      <c r="I957">
        <f t="shared" si="79"/>
        <v>14068.294358614867</v>
      </c>
      <c r="J957">
        <f t="shared" si="80"/>
        <v>31457.662513339648</v>
      </c>
    </row>
    <row r="958" spans="1:10" x14ac:dyDescent="0.45">
      <c r="A958">
        <v>-1.0718849807744846E-3</v>
      </c>
      <c r="B958">
        <f t="shared" si="77"/>
        <v>1.1489374120099172E-6</v>
      </c>
      <c r="F958">
        <f t="shared" si="81"/>
        <v>7.0944369837658562E-5</v>
      </c>
      <c r="G958" s="1">
        <f t="shared" si="82"/>
        <v>8.4228480834963749E-3</v>
      </c>
      <c r="H958" s="1">
        <f t="shared" si="78"/>
        <v>1.3855585097351537E-2</v>
      </c>
      <c r="I958">
        <f t="shared" si="79"/>
        <v>13855.585097351537</v>
      </c>
      <c r="J958">
        <f t="shared" si="80"/>
        <v>30982.03014571108</v>
      </c>
    </row>
    <row r="959" spans="1:10" x14ac:dyDescent="0.45">
      <c r="A959">
        <v>-7.2598368205945008E-3</v>
      </c>
      <c r="B959">
        <f t="shared" si="77"/>
        <v>5.2705230661659672E-5</v>
      </c>
      <c r="F959">
        <f t="shared" si="81"/>
        <v>6.8810484189958283E-5</v>
      </c>
      <c r="G959" s="1">
        <f t="shared" si="82"/>
        <v>8.2952085079254206E-3</v>
      </c>
      <c r="H959" s="1">
        <f t="shared" si="78"/>
        <v>1.3645617995537316E-2</v>
      </c>
      <c r="I959">
        <f t="shared" si="79"/>
        <v>13645.617995537315</v>
      </c>
      <c r="J959">
        <f t="shared" si="80"/>
        <v>30512.529433015861</v>
      </c>
    </row>
    <row r="960" spans="1:10" x14ac:dyDescent="0.45">
      <c r="A960">
        <v>-3.5749053495237604E-3</v>
      </c>
      <c r="B960">
        <f t="shared" si="77"/>
        <v>1.2779948258053599E-5</v>
      </c>
      <c r="F960">
        <f t="shared" si="81"/>
        <v>6.8326308649956934E-5</v>
      </c>
      <c r="G960" s="1">
        <f t="shared" si="82"/>
        <v>8.2659729403111969E-3</v>
      </c>
      <c r="H960" s="1">
        <f t="shared" si="78"/>
        <v>1.359752548681192E-2</v>
      </c>
      <c r="I960">
        <f t="shared" si="79"/>
        <v>13597.525486811919</v>
      </c>
      <c r="J960">
        <f t="shared" si="80"/>
        <v>30404.991314297371</v>
      </c>
    </row>
    <row r="961" spans="1:10" x14ac:dyDescent="0.45">
      <c r="A961">
        <v>-2.7162286642123945E-3</v>
      </c>
      <c r="B961">
        <f t="shared" si="77"/>
        <v>7.3778981562890489E-6</v>
      </c>
      <c r="F961">
        <f t="shared" si="81"/>
        <v>6.6645599405706327E-5</v>
      </c>
      <c r="G961" s="1">
        <f t="shared" si="82"/>
        <v>8.1636756063495283E-3</v>
      </c>
      <c r="H961" s="1">
        <f t="shared" si="78"/>
        <v>1.3429246372444975E-2</v>
      </c>
      <c r="I961">
        <f t="shared" si="79"/>
        <v>13429.246372444975</v>
      </c>
      <c r="J961">
        <f t="shared" si="80"/>
        <v>30028.707775379426</v>
      </c>
    </row>
    <row r="962" spans="1:10" x14ac:dyDescent="0.45">
      <c r="A962">
        <v>-7.8126731750671752E-3</v>
      </c>
      <c r="B962">
        <f t="shared" si="77"/>
        <v>6.1037862140414213E-5</v>
      </c>
      <c r="F962">
        <f t="shared" si="81"/>
        <v>6.4853022845209662E-5</v>
      </c>
      <c r="G962" s="1">
        <f t="shared" si="82"/>
        <v>8.0531374535152238E-3</v>
      </c>
      <c r="H962" s="1">
        <f t="shared" si="78"/>
        <v>1.3247411111032543E-2</v>
      </c>
      <c r="I962">
        <f t="shared" si="79"/>
        <v>13247.411111032543</v>
      </c>
      <c r="J962">
        <f t="shared" si="80"/>
        <v>29622.111770154781</v>
      </c>
    </row>
    <row r="963" spans="1:10" x14ac:dyDescent="0.45">
      <c r="A963">
        <v>-2.6107954909093678E-2</v>
      </c>
      <c r="B963">
        <f t="shared" ref="B963:B1001" si="83">A963^2</f>
        <v>6.8162530953526867E-4</v>
      </c>
      <c r="F963">
        <f t="shared" si="81"/>
        <v>6.4736604789882466E-5</v>
      </c>
      <c r="G963" s="1">
        <f t="shared" si="82"/>
        <v>8.0459060888058136E-3</v>
      </c>
      <c r="H963" s="1">
        <f t="shared" si="78"/>
        <v>1.3235515516085563E-2</v>
      </c>
      <c r="I963">
        <f t="shared" si="79"/>
        <v>13235.515516085563</v>
      </c>
      <c r="J963">
        <f t="shared" si="80"/>
        <v>29595.51241122053</v>
      </c>
    </row>
    <row r="964" spans="1:10" x14ac:dyDescent="0.45">
      <c r="A964">
        <v>-5.7856368584907614E-3</v>
      </c>
      <c r="B964">
        <f t="shared" si="83"/>
        <v>3.3473593858326849E-5</v>
      </c>
      <c r="F964">
        <f t="shared" si="81"/>
        <v>8.3213471294732954E-5</v>
      </c>
      <c r="G964" s="1">
        <f t="shared" si="82"/>
        <v>9.1221418150965478E-3</v>
      </c>
      <c r="H964" s="1">
        <f t="shared" si="78"/>
        <v>1.5005923285833821E-2</v>
      </c>
      <c r="I964">
        <f t="shared" si="79"/>
        <v>15005.923285833822</v>
      </c>
      <c r="J964">
        <f t="shared" si="80"/>
        <v>33554.264532271431</v>
      </c>
    </row>
    <row r="965" spans="1:10" x14ac:dyDescent="0.45">
      <c r="A965">
        <v>7.6149035521666519E-3</v>
      </c>
      <c r="B965">
        <f t="shared" si="83"/>
        <v>5.7986756108800296E-5</v>
      </c>
      <c r="F965">
        <f t="shared" si="81"/>
        <v>8.1716259200986726E-5</v>
      </c>
      <c r="G965" s="1">
        <f t="shared" si="82"/>
        <v>9.039704596997997E-3</v>
      </c>
      <c r="H965" s="1">
        <f t="shared" si="78"/>
        <v>1.4870314062061706E-2</v>
      </c>
      <c r="I965">
        <f t="shared" si="79"/>
        <v>14870.314062061705</v>
      </c>
      <c r="J965">
        <f t="shared" si="80"/>
        <v>33251.033089541001</v>
      </c>
    </row>
    <row r="966" spans="1:10" x14ac:dyDescent="0.45">
      <c r="A966">
        <v>-1.3580620361608453E-2</v>
      </c>
      <c r="B966">
        <f t="shared" si="83"/>
        <v>1.8443324940613411E-4</v>
      </c>
      <c r="F966">
        <f t="shared" si="81"/>
        <v>8.0988060435379755E-5</v>
      </c>
      <c r="G966" s="1">
        <f t="shared" si="82"/>
        <v>8.9993366664093497E-3</v>
      </c>
      <c r="H966" s="1">
        <f t="shared" si="78"/>
        <v>1.4803908816243381E-2</v>
      </c>
      <c r="I966">
        <f t="shared" si="79"/>
        <v>14803.908816243382</v>
      </c>
      <c r="J966">
        <f t="shared" si="80"/>
        <v>33102.546445828644</v>
      </c>
    </row>
    <row r="967" spans="1:10" x14ac:dyDescent="0.45">
      <c r="A967">
        <v>1.5706018530181609E-2</v>
      </c>
      <c r="B967">
        <f t="shared" si="83"/>
        <v>2.466790180704081E-4</v>
      </c>
      <c r="F967">
        <f t="shared" si="81"/>
        <v>8.4081394072593795E-5</v>
      </c>
      <c r="G967" s="1">
        <f t="shared" si="82"/>
        <v>9.169590725468274E-3</v>
      </c>
      <c r="H967" s="1">
        <f t="shared" si="78"/>
        <v>1.5083976743395311E-2</v>
      </c>
      <c r="I967">
        <f t="shared" si="79"/>
        <v>15083.976743395311</v>
      </c>
      <c r="J967">
        <f t="shared" si="80"/>
        <v>33728.797369257816</v>
      </c>
    </row>
    <row r="968" spans="1:10" x14ac:dyDescent="0.45">
      <c r="A968">
        <v>2.5412009563297033E-2</v>
      </c>
      <c r="B968">
        <f t="shared" si="83"/>
        <v>6.4577023004509988E-4</v>
      </c>
      <c r="F968">
        <f t="shared" si="81"/>
        <v>8.894826129690992E-5</v>
      </c>
      <c r="G968" s="1">
        <f t="shared" si="82"/>
        <v>9.4312385876357679E-3</v>
      </c>
      <c r="H968" s="1">
        <f t="shared" si="78"/>
        <v>1.5514387476660839E-2</v>
      </c>
      <c r="I968">
        <f t="shared" si="79"/>
        <v>15514.387476660839</v>
      </c>
      <c r="J968">
        <f t="shared" si="80"/>
        <v>34691.225027085071</v>
      </c>
    </row>
    <row r="969" spans="1:10" x14ac:dyDescent="0.45">
      <c r="A969">
        <v>1.6316562323481776E-3</v>
      </c>
      <c r="B969">
        <f t="shared" si="83"/>
        <v>2.66230206056065E-6</v>
      </c>
      <c r="F969">
        <f t="shared" si="81"/>
        <v>1.0564973992454388E-4</v>
      </c>
      <c r="G969" s="1">
        <f t="shared" si="82"/>
        <v>1.0278605932933896E-2</v>
      </c>
      <c r="H969" s="1">
        <f t="shared" si="78"/>
        <v>1.6908306759676261E-2</v>
      </c>
      <c r="I969">
        <f t="shared" si="79"/>
        <v>16908.306759676259</v>
      </c>
      <c r="J969">
        <f t="shared" si="80"/>
        <v>37808.123299055318</v>
      </c>
    </row>
    <row r="970" spans="1:10" x14ac:dyDescent="0.45">
      <c r="A970">
        <v>-1.5983346202119719E-3</v>
      </c>
      <c r="B970">
        <f t="shared" si="83"/>
        <v>2.5546735581681486E-6</v>
      </c>
      <c r="F970">
        <f t="shared" si="81"/>
        <v>1.0253536078259974E-4</v>
      </c>
      <c r="G970" s="1">
        <f t="shared" si="82"/>
        <v>1.0125974559646086E-2</v>
      </c>
      <c r="H970" s="1">
        <f t="shared" si="78"/>
        <v>1.6657228150617813E-2</v>
      </c>
      <c r="I970">
        <f t="shared" si="79"/>
        <v>16657.228150617811</v>
      </c>
      <c r="J970">
        <f t="shared" si="80"/>
        <v>37246.694461504536</v>
      </c>
    </row>
    <row r="971" spans="1:10" x14ac:dyDescent="0.45">
      <c r="A971">
        <v>-6.07200263402774E-3</v>
      </c>
      <c r="B971">
        <f t="shared" si="83"/>
        <v>3.686921598763981E-5</v>
      </c>
      <c r="F971">
        <f t="shared" si="81"/>
        <v>9.9454082981441475E-5</v>
      </c>
      <c r="G971" s="1">
        <f t="shared" si="82"/>
        <v>9.9726667938641912E-3</v>
      </c>
      <c r="H971" s="1">
        <f t="shared" si="78"/>
        <v>1.6405036875906595E-2</v>
      </c>
      <c r="I971">
        <f t="shared" si="79"/>
        <v>16405.036875906597</v>
      </c>
      <c r="J971">
        <f t="shared" si="80"/>
        <v>36682.777627917931</v>
      </c>
    </row>
    <row r="972" spans="1:10" x14ac:dyDescent="0.45">
      <c r="A972">
        <v>-4.7277808334911242E-3</v>
      </c>
      <c r="B972">
        <f t="shared" si="83"/>
        <v>2.2351911609526029E-5</v>
      </c>
      <c r="F972">
        <f t="shared" si="81"/>
        <v>9.7563628335251682E-5</v>
      </c>
      <c r="G972" s="1">
        <f t="shared" si="82"/>
        <v>9.8774302495766419E-3</v>
      </c>
      <c r="H972" s="1">
        <f t="shared" si="78"/>
        <v>1.6248372760553575E-2</v>
      </c>
      <c r="I972">
        <f t="shared" si="79"/>
        <v>16248.372760553575</v>
      </c>
      <c r="J972">
        <f t="shared" si="80"/>
        <v>36332.466016353712</v>
      </c>
    </row>
    <row r="973" spans="1:10" x14ac:dyDescent="0.45">
      <c r="A973">
        <v>-4.9410118663217872E-3</v>
      </c>
      <c r="B973">
        <f t="shared" si="83"/>
        <v>2.441359826313271E-5</v>
      </c>
      <c r="F973">
        <f t="shared" si="81"/>
        <v>9.5305618644692626E-5</v>
      </c>
      <c r="G973" s="1">
        <f t="shared" si="82"/>
        <v>9.7624596616166671E-3</v>
      </c>
      <c r="H973" s="1">
        <f t="shared" si="78"/>
        <v>1.6059246143359417E-2</v>
      </c>
      <c r="I973">
        <f t="shared" si="79"/>
        <v>16059.246143359418</v>
      </c>
      <c r="J973">
        <f t="shared" si="80"/>
        <v>35909.566043952997</v>
      </c>
    </row>
    <row r="974" spans="1:10" x14ac:dyDescent="0.45">
      <c r="A974">
        <v>-1.4516081137116998E-2</v>
      </c>
      <c r="B974">
        <f t="shared" si="83"/>
        <v>2.1071661157936393E-4</v>
      </c>
      <c r="F974">
        <f t="shared" si="81"/>
        <v>9.3178348739479102E-5</v>
      </c>
      <c r="G974" s="1">
        <f t="shared" si="82"/>
        <v>9.6528932833363033E-3</v>
      </c>
      <c r="H974" s="1">
        <f t="shared" si="78"/>
        <v>1.5879009451088218E-2</v>
      </c>
      <c r="I974">
        <f t="shared" si="79"/>
        <v>15879.009451088219</v>
      </c>
      <c r="J974">
        <f t="shared" si="80"/>
        <v>35506.544547994883</v>
      </c>
    </row>
    <row r="975" spans="1:10" x14ac:dyDescent="0.45">
      <c r="A975">
        <v>4.1911789594450966E-3</v>
      </c>
      <c r="B975">
        <f t="shared" si="83"/>
        <v>1.7565981070095282E-5</v>
      </c>
      <c r="F975">
        <f t="shared" si="81"/>
        <v>9.6702938043217358E-5</v>
      </c>
      <c r="G975" s="1">
        <f t="shared" si="82"/>
        <v>9.8337652017534641E-3</v>
      </c>
      <c r="H975" s="1">
        <f t="shared" si="78"/>
        <v>1.6176543756884449E-2</v>
      </c>
      <c r="I975">
        <f t="shared" si="79"/>
        <v>16176.543756884448</v>
      </c>
      <c r="J975">
        <f t="shared" si="80"/>
        <v>36171.85148139346</v>
      </c>
    </row>
    <row r="976" spans="1:10" x14ac:dyDescent="0.45">
      <c r="A976">
        <v>-7.0015175879234448E-4</v>
      </c>
      <c r="B976">
        <f t="shared" si="83"/>
        <v>4.9021248534001327E-7</v>
      </c>
      <c r="F976">
        <f t="shared" si="81"/>
        <v>9.4310135114811981E-5</v>
      </c>
      <c r="G976" s="1">
        <f t="shared" si="82"/>
        <v>9.711340541594244E-3</v>
      </c>
      <c r="H976" s="1">
        <f t="shared" si="78"/>
        <v>1.5975155190922533E-2</v>
      </c>
      <c r="I976">
        <f t="shared" si="79"/>
        <v>15975.155190922533</v>
      </c>
      <c r="J976">
        <f t="shared" si="80"/>
        <v>35721.532958011419</v>
      </c>
    </row>
    <row r="977" spans="1:10" x14ac:dyDescent="0.45">
      <c r="A977">
        <v>-8.906454240786843E-3</v>
      </c>
      <c r="B977">
        <f t="shared" si="83"/>
        <v>7.9324927143229935E-5</v>
      </c>
      <c r="F977">
        <f t="shared" si="81"/>
        <v>9.149320706443675E-5</v>
      </c>
      <c r="G977" s="1">
        <f t="shared" si="82"/>
        <v>9.565208155834181E-3</v>
      </c>
      <c r="H977" s="1">
        <f t="shared" si="78"/>
        <v>1.5734767416347228E-2</v>
      </c>
      <c r="I977">
        <f t="shared" si="79"/>
        <v>15734.767416347227</v>
      </c>
      <c r="J977">
        <f t="shared" si="80"/>
        <v>35184.009553101139</v>
      </c>
    </row>
    <row r="978" spans="1:10" x14ac:dyDescent="0.45">
      <c r="A978">
        <v>-2.7274609237792902E-4</v>
      </c>
      <c r="B978">
        <f t="shared" si="83"/>
        <v>7.4390430907429789E-8</v>
      </c>
      <c r="F978">
        <f t="shared" si="81"/>
        <v>9.1125800201920316E-5</v>
      </c>
      <c r="G978" s="1">
        <f t="shared" si="82"/>
        <v>9.5459834591266873E-3</v>
      </c>
      <c r="H978" s="1">
        <f t="shared" si="78"/>
        <v>1.57031427902634E-2</v>
      </c>
      <c r="I978">
        <f t="shared" si="79"/>
        <v>15703.1427902634</v>
      </c>
      <c r="J978">
        <f t="shared" si="80"/>
        <v>35113.29473941469</v>
      </c>
    </row>
    <row r="979" spans="1:10" x14ac:dyDescent="0.45">
      <c r="A979">
        <v>-1.2046484698657878E-2</v>
      </c>
      <c r="B979">
        <f t="shared" si="83"/>
        <v>1.4511779359499839E-4</v>
      </c>
      <c r="F979">
        <f t="shared" si="81"/>
        <v>8.8393166199723165E-5</v>
      </c>
      <c r="G979" s="1">
        <f t="shared" si="82"/>
        <v>9.4017639940451158E-3</v>
      </c>
      <c r="H979" s="1">
        <f t="shared" si="78"/>
        <v>1.5465901770204215E-2</v>
      </c>
      <c r="I979">
        <f t="shared" si="79"/>
        <v>15465.901770204215</v>
      </c>
      <c r="J979">
        <f t="shared" si="80"/>
        <v>34582.807691510956</v>
      </c>
    </row>
    <row r="980" spans="1:10" x14ac:dyDescent="0.45">
      <c r="A980">
        <v>7.262315193656832E-4</v>
      </c>
      <c r="B980">
        <f t="shared" si="83"/>
        <v>5.2741221972018869E-7</v>
      </c>
      <c r="F980">
        <f t="shared" si="81"/>
        <v>9.0042005416350382E-5</v>
      </c>
      <c r="G980" s="1">
        <f t="shared" si="82"/>
        <v>9.489046602074962E-3</v>
      </c>
      <c r="H980" s="1">
        <f t="shared" si="78"/>
        <v>1.5609481660413312E-2</v>
      </c>
      <c r="I980">
        <f t="shared" si="79"/>
        <v>15609.481660413312</v>
      </c>
      <c r="J980">
        <f t="shared" si="80"/>
        <v>34903.862086220455</v>
      </c>
    </row>
    <row r="981" spans="1:10" x14ac:dyDescent="0.45">
      <c r="A981">
        <v>-6.7398559622233734E-3</v>
      </c>
      <c r="B981">
        <f t="shared" si="83"/>
        <v>4.5425658391517954E-5</v>
      </c>
      <c r="F981">
        <f t="shared" si="81"/>
        <v>8.7322488627674158E-5</v>
      </c>
      <c r="G981" s="1">
        <f t="shared" si="82"/>
        <v>9.3446502678096073E-3</v>
      </c>
      <c r="H981" s="1">
        <f t="shared" si="78"/>
        <v>1.5371949690546805E-2</v>
      </c>
      <c r="I981">
        <f t="shared" si="79"/>
        <v>15371.949690546804</v>
      </c>
      <c r="J981">
        <f t="shared" si="80"/>
        <v>34372.724454769515</v>
      </c>
    </row>
    <row r="982" spans="1:10" x14ac:dyDescent="0.45">
      <c r="A982">
        <v>-9.017321644932963E-3</v>
      </c>
      <c r="B982">
        <f t="shared" si="83"/>
        <v>8.131208964817652E-5</v>
      </c>
      <c r="F982">
        <f t="shared" si="81"/>
        <v>8.6065192885346635E-5</v>
      </c>
      <c r="G982" s="1">
        <f t="shared" si="82"/>
        <v>9.2771327944223495E-3</v>
      </c>
      <c r="H982" s="1">
        <f t="shared" si="78"/>
        <v>1.5260883446824766E-2</v>
      </c>
      <c r="I982">
        <f t="shared" si="79"/>
        <v>15260.883446824766</v>
      </c>
      <c r="J982">
        <f t="shared" si="80"/>
        <v>34124.372783801475</v>
      </c>
    </row>
    <row r="983" spans="1:10" x14ac:dyDescent="0.45">
      <c r="A983">
        <v>2.8211388780619018E-3</v>
      </c>
      <c r="B983">
        <f t="shared" si="83"/>
        <v>7.9588245693123667E-6</v>
      </c>
      <c r="F983">
        <f t="shared" si="81"/>
        <v>8.5760301701905462E-5</v>
      </c>
      <c r="G983" s="1">
        <f t="shared" si="82"/>
        <v>9.2606858116397323E-3</v>
      </c>
      <c r="H983" s="1">
        <f t="shared" si="78"/>
        <v>1.523382816014736E-2</v>
      </c>
      <c r="I983">
        <f t="shared" si="79"/>
        <v>15233.828160147361</v>
      </c>
      <c r="J983">
        <f t="shared" si="80"/>
        <v>34063.875323640052</v>
      </c>
    </row>
    <row r="984" spans="1:10" x14ac:dyDescent="0.45">
      <c r="A984">
        <v>2.2326616999635007E-3</v>
      </c>
      <c r="B984">
        <f t="shared" si="83"/>
        <v>4.9847782664839089E-6</v>
      </c>
      <c r="F984">
        <f t="shared" si="81"/>
        <v>8.3375968828264651E-5</v>
      </c>
      <c r="G984" s="1">
        <f t="shared" si="82"/>
        <v>9.1310442353689566E-3</v>
      </c>
      <c r="H984" s="1">
        <f t="shared" si="78"/>
        <v>1.5020567767181935E-2</v>
      </c>
      <c r="I984">
        <f t="shared" si="79"/>
        <v>15020.567767181934</v>
      </c>
      <c r="J984">
        <f t="shared" si="80"/>
        <v>33587.010588061043</v>
      </c>
    </row>
    <row r="985" spans="1:10" x14ac:dyDescent="0.45">
      <c r="A985">
        <v>1.2297505236347206E-3</v>
      </c>
      <c r="B985">
        <f t="shared" si="83"/>
        <v>1.5122863503798694E-6</v>
      </c>
      <c r="F985">
        <f t="shared" si="81"/>
        <v>8.1022871071427063E-5</v>
      </c>
      <c r="G985" s="1">
        <f t="shared" si="82"/>
        <v>9.0012705253995715E-3</v>
      </c>
      <c r="H985" s="1">
        <f t="shared" si="78"/>
        <v>1.4807090014282296E-2</v>
      </c>
      <c r="I985">
        <f t="shared" si="79"/>
        <v>14807.090014282296</v>
      </c>
      <c r="J985">
        <f t="shared" si="80"/>
        <v>33109.659820893547</v>
      </c>
    </row>
    <row r="986" spans="1:10" x14ac:dyDescent="0.45">
      <c r="A986">
        <v>-6.073832992115058E-4</v>
      </c>
      <c r="B986">
        <f t="shared" si="83"/>
        <v>3.6891447216105358E-7</v>
      </c>
      <c r="F986">
        <f t="shared" si="81"/>
        <v>7.8597644242661571E-5</v>
      </c>
      <c r="G986" s="1">
        <f t="shared" si="82"/>
        <v>8.8655312442437184E-3</v>
      </c>
      <c r="H986" s="1">
        <f t="shared" ref="H986:H1000" si="84">G986*$H$1</f>
        <v>1.4583798896780917E-2</v>
      </c>
      <c r="I986">
        <f t="shared" ref="I986:I1000" si="85">H986*$K$1</f>
        <v>14583.798896780918</v>
      </c>
      <c r="J986">
        <f t="shared" ref="J986:J1000" si="86">I986*SQRT($K$2)</f>
        <v>32610.365703388572</v>
      </c>
    </row>
    <row r="987" spans="1:10" x14ac:dyDescent="0.45">
      <c r="A987">
        <v>-4.909054496238241E-3</v>
      </c>
      <c r="B987">
        <f t="shared" si="83"/>
        <v>2.4098816047036889E-5</v>
      </c>
      <c r="F987">
        <f t="shared" ref="F987:F1000" si="87">(1-$E$1)*SUMPRODUCT($E$2:$E$152,B836:B986)</f>
        <v>7.6241474662882706E-5</v>
      </c>
      <c r="G987" s="1">
        <f t="shared" ref="G987:G1000" si="88">SQRT(F987)</f>
        <v>8.73163642525745E-3</v>
      </c>
      <c r="H987" s="1">
        <f t="shared" si="84"/>
        <v>1.4363541919548506E-2</v>
      </c>
      <c r="I987">
        <f t="shared" si="85"/>
        <v>14363.541919548505</v>
      </c>
      <c r="J987">
        <f t="shared" si="86"/>
        <v>32117.856129778273</v>
      </c>
    </row>
    <row r="988" spans="1:10" x14ac:dyDescent="0.45">
      <c r="A988">
        <v>-4.481967152969446E-3</v>
      </c>
      <c r="B988">
        <f t="shared" si="83"/>
        <v>2.0088029560297042E-5</v>
      </c>
      <c r="F988">
        <f t="shared" si="87"/>
        <v>7.4675612547093817E-5</v>
      </c>
      <c r="G988" s="1">
        <f t="shared" si="88"/>
        <v>8.6415052246176308E-3</v>
      </c>
      <c r="H988" s="1">
        <f t="shared" si="84"/>
        <v>1.4215276094496002E-2</v>
      </c>
      <c r="I988">
        <f t="shared" si="85"/>
        <v>14215.276094496003</v>
      </c>
      <c r="J988">
        <f t="shared" si="86"/>
        <v>31786.323666220789</v>
      </c>
    </row>
    <row r="989" spans="1:10" x14ac:dyDescent="0.45">
      <c r="A989">
        <v>-1.3167186807550024E-2</v>
      </c>
      <c r="B989">
        <f t="shared" si="83"/>
        <v>1.7337480842491941E-4</v>
      </c>
      <c r="F989">
        <f t="shared" si="87"/>
        <v>7.3017242964325643E-5</v>
      </c>
      <c r="G989" s="1">
        <f t="shared" si="88"/>
        <v>8.5450127539007017E-3</v>
      </c>
      <c r="H989" s="1">
        <f t="shared" si="84"/>
        <v>1.4056545980166655E-2</v>
      </c>
      <c r="I989">
        <f t="shared" si="85"/>
        <v>14056.545980166655</v>
      </c>
      <c r="J989">
        <f t="shared" si="86"/>
        <v>31431.392340504051</v>
      </c>
    </row>
    <row r="990" spans="1:10" x14ac:dyDescent="0.45">
      <c r="A990">
        <v>5.4674842431268189E-3</v>
      </c>
      <c r="B990">
        <f t="shared" si="83"/>
        <v>2.9893383948840044E-5</v>
      </c>
      <c r="F990">
        <f t="shared" si="87"/>
        <v>7.5988060641009322E-5</v>
      </c>
      <c r="G990" s="1">
        <f t="shared" si="88"/>
        <v>8.717113090984269E-3</v>
      </c>
      <c r="H990" s="1">
        <f t="shared" si="84"/>
        <v>1.4339651034669122E-2</v>
      </c>
      <c r="I990">
        <f t="shared" si="85"/>
        <v>14339.651034669121</v>
      </c>
      <c r="J990">
        <f t="shared" si="86"/>
        <v>32064.43448714535</v>
      </c>
    </row>
    <row r="991" spans="1:10" x14ac:dyDescent="0.45">
      <c r="A991">
        <v>1.5975501810316928E-3</v>
      </c>
      <c r="B991">
        <f t="shared" si="83"/>
        <v>2.5521665809143943E-6</v>
      </c>
      <c r="F991">
        <f t="shared" si="87"/>
        <v>7.4486362822196703E-5</v>
      </c>
      <c r="G991" s="1">
        <f t="shared" si="88"/>
        <v>8.6305482341619937E-3</v>
      </c>
      <c r="H991" s="1">
        <f t="shared" si="84"/>
        <v>1.419725184519648E-2</v>
      </c>
      <c r="I991">
        <f t="shared" si="85"/>
        <v>14197.251845196481</v>
      </c>
      <c r="J991">
        <f t="shared" si="86"/>
        <v>31746.020219543654</v>
      </c>
    </row>
    <row r="992" spans="1:10" x14ac:dyDescent="0.45">
      <c r="A992">
        <v>-1.387702468491625E-2</v>
      </c>
      <c r="B992">
        <f t="shared" si="83"/>
        <v>1.9257181410577495E-4</v>
      </c>
      <c r="F992">
        <f t="shared" si="87"/>
        <v>7.2284696193275231E-5</v>
      </c>
      <c r="G992" s="1">
        <f t="shared" si="88"/>
        <v>8.5020407075757538E-3</v>
      </c>
      <c r="H992" s="1">
        <f t="shared" si="84"/>
        <v>1.3985856963962115E-2</v>
      </c>
      <c r="I992">
        <f t="shared" si="85"/>
        <v>13985.856963962115</v>
      </c>
      <c r="J992">
        <f t="shared" si="86"/>
        <v>31273.326895008115</v>
      </c>
    </row>
    <row r="993" spans="1:10" x14ac:dyDescent="0.45">
      <c r="A993">
        <v>-7.2498778536100872E-3</v>
      </c>
      <c r="B993">
        <f t="shared" si="83"/>
        <v>5.2560728892266007E-5</v>
      </c>
      <c r="F993">
        <f t="shared" si="87"/>
        <v>7.5888551796230076E-5</v>
      </c>
      <c r="G993" s="1">
        <f t="shared" si="88"/>
        <v>8.7114035491549849E-3</v>
      </c>
      <c r="H993" s="1">
        <f t="shared" si="84"/>
        <v>1.4330258838359951E-2</v>
      </c>
      <c r="I993">
        <f t="shared" si="85"/>
        <v>14330.25883835995</v>
      </c>
      <c r="J993">
        <f t="shared" si="86"/>
        <v>32043.432897740022</v>
      </c>
    </row>
    <row r="994" spans="1:10" x14ac:dyDescent="0.45">
      <c r="A994">
        <v>-6.8332724367792252E-3</v>
      </c>
      <c r="B994">
        <f t="shared" si="83"/>
        <v>4.6693612195246694E-5</v>
      </c>
      <c r="F994">
        <f t="shared" si="87"/>
        <v>7.5187487952496453E-5</v>
      </c>
      <c r="G994" s="1">
        <f t="shared" si="88"/>
        <v>8.67107190331717E-3</v>
      </c>
      <c r="H994" s="1">
        <f t="shared" si="84"/>
        <v>1.4263913280956745E-2</v>
      </c>
      <c r="I994">
        <f t="shared" si="85"/>
        <v>14263.913280956745</v>
      </c>
      <c r="J994">
        <f t="shared" si="86"/>
        <v>31895.079721381342</v>
      </c>
    </row>
    <row r="995" spans="1:10" x14ac:dyDescent="0.45">
      <c r="A995">
        <v>4.8557922127656639E-4</v>
      </c>
      <c r="B995">
        <f t="shared" si="83"/>
        <v>2.3578718013555662E-7</v>
      </c>
      <c r="F995">
        <f t="shared" si="87"/>
        <v>7.4322469488685041E-5</v>
      </c>
      <c r="G995" s="1">
        <f t="shared" si="88"/>
        <v>8.6210480504800013E-3</v>
      </c>
      <c r="H995" s="1">
        <f t="shared" si="84"/>
        <v>1.4181624043039602E-2</v>
      </c>
      <c r="I995">
        <f t="shared" si="85"/>
        <v>14181.624043039601</v>
      </c>
      <c r="J995">
        <f t="shared" si="86"/>
        <v>31711.075391581951</v>
      </c>
    </row>
    <row r="996" spans="1:10" x14ac:dyDescent="0.45">
      <c r="A996">
        <v>-1.142068413173547E-2</v>
      </c>
      <c r="B996">
        <f t="shared" si="83"/>
        <v>1.3043202603687436E-4</v>
      </c>
      <c r="F996">
        <f t="shared" si="87"/>
        <v>7.20978370465522E-5</v>
      </c>
      <c r="G996" s="1">
        <f t="shared" si="88"/>
        <v>8.4910445203492009E-3</v>
      </c>
      <c r="H996" s="1">
        <f t="shared" si="84"/>
        <v>1.3967768235974436E-2</v>
      </c>
      <c r="I996">
        <f t="shared" si="85"/>
        <v>13967.768235974436</v>
      </c>
      <c r="J996">
        <f t="shared" si="86"/>
        <v>31232.879269601162</v>
      </c>
    </row>
    <row r="997" spans="1:10" x14ac:dyDescent="0.45">
      <c r="A997">
        <v>-9.4731831268290989E-4</v>
      </c>
      <c r="B997">
        <f t="shared" si="83"/>
        <v>8.9741198554439542E-7</v>
      </c>
      <c r="F997">
        <f t="shared" si="87"/>
        <v>7.3747886838256745E-5</v>
      </c>
      <c r="G997" s="1">
        <f t="shared" si="88"/>
        <v>8.5876589847441401E-3</v>
      </c>
      <c r="H997" s="1">
        <f t="shared" si="84"/>
        <v>1.412669902990411E-2</v>
      </c>
      <c r="I997">
        <f t="shared" si="85"/>
        <v>14126.69902990411</v>
      </c>
      <c r="J997">
        <f t="shared" si="86"/>
        <v>31588.259328545926</v>
      </c>
    </row>
    <row r="998" spans="1:10" x14ac:dyDescent="0.45">
      <c r="A998">
        <v>-8.589040589868091E-3</v>
      </c>
      <c r="B998">
        <f t="shared" si="83"/>
        <v>7.3771618254401609E-5</v>
      </c>
      <c r="F998">
        <f t="shared" si="87"/>
        <v>7.1551408171427545E-5</v>
      </c>
      <c r="G998" s="1">
        <f t="shared" si="88"/>
        <v>8.4588065453364957E-3</v>
      </c>
      <c r="H998" s="1">
        <f t="shared" si="84"/>
        <v>1.3914736767078535E-2</v>
      </c>
      <c r="I998">
        <f t="shared" si="85"/>
        <v>13914.736767078535</v>
      </c>
      <c r="J998">
        <f t="shared" si="86"/>
        <v>31114.297300203263</v>
      </c>
    </row>
    <row r="999" spans="1:10" x14ac:dyDescent="0.45">
      <c r="A999">
        <v>3.5993707570014521E-3</v>
      </c>
      <c r="B999">
        <f t="shared" si="83"/>
        <v>1.2955469846357206E-5</v>
      </c>
      <c r="F999">
        <f t="shared" si="87"/>
        <v>7.1618009811279384E-5</v>
      </c>
      <c r="G999" s="1">
        <f t="shared" si="88"/>
        <v>8.4627424521415869E-3</v>
      </c>
      <c r="H999" s="1">
        <f t="shared" si="84"/>
        <v>1.392121133377291E-2</v>
      </c>
      <c r="I999">
        <f t="shared" si="85"/>
        <v>13921.21133377291</v>
      </c>
      <c r="J999">
        <f t="shared" si="86"/>
        <v>31128.774871456742</v>
      </c>
    </row>
    <row r="1000" spans="1:10" x14ac:dyDescent="0.45">
      <c r="A1000">
        <v>-5.7251554608228616E-3</v>
      </c>
      <c r="B1000">
        <f t="shared" si="83"/>
        <v>3.2777405050589831E-5</v>
      </c>
      <c r="F1000">
        <f t="shared" si="87"/>
        <v>6.9835964210018684E-5</v>
      </c>
      <c r="G1000" s="1">
        <f t="shared" si="88"/>
        <v>8.356791502126799E-3</v>
      </c>
      <c r="H1000" s="1">
        <f t="shared" si="84"/>
        <v>1.3746922020998585E-2</v>
      </c>
      <c r="I1000">
        <f t="shared" si="85"/>
        <v>13746.922020998585</v>
      </c>
      <c r="J1000">
        <f t="shared" si="86"/>
        <v>30739.052120341628</v>
      </c>
    </row>
    <row r="1001" spans="1:10" x14ac:dyDescent="0.45">
      <c r="A1001">
        <v>-9.0472440206212923E-3</v>
      </c>
      <c r="B1001">
        <f t="shared" si="83"/>
        <v>8.1852624368667731E-5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Foglio2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Aula N14</dc:creator>
  <cp:lastModifiedBy>Aula N24</cp:lastModifiedBy>
  <dcterms:created xsi:type="dcterms:W3CDTF">2026-02-23T14:22:28Z</dcterms:created>
  <dcterms:modified xsi:type="dcterms:W3CDTF">2026-02-23T16:53:42Z</dcterms:modified>
</cp:coreProperties>
</file>